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irfan\OneDrive\Documents\ALB_FISHERIES_NAVUNDA\ALB ANALYSIS\excel\"/>
    </mc:Choice>
  </mc:AlternateContent>
  <xr:revisionPtr revIDLastSave="0" documentId="13_ncr:1_{6DBB77B9-55C6-4DCD-9493-0A6BBBB8BF72}" xr6:coauthVersionLast="47" xr6:coauthVersionMax="47" xr10:uidLastSave="{00000000-0000-0000-0000-000000000000}"/>
  <bookViews>
    <workbookView xWindow="-120" yWindow="-120" windowWidth="20730" windowHeight="11040" firstSheet="2" activeTab="5" xr2:uid="{9B056E48-99D0-4F9C-9824-8219B8CE03F1}"/>
  </bookViews>
  <sheets>
    <sheet name="Sheet1" sheetId="94" r:id="rId1"/>
    <sheet name="RTN AND ALIBAG MARKET SALES" sheetId="2" r:id="rId2"/>
    <sheet name="Sheet3" sheetId="96" r:id="rId3"/>
    <sheet name="TRIPS" sheetId="47" r:id="rId4"/>
    <sheet name="RTN Fish sales Analysis" sheetId="89" r:id="rId5"/>
    <sheet name="Trips dashboard" sheetId="95" r:id="rId6"/>
  </sheets>
  <definedNames>
    <definedName name="_xlcn.WorksheetConnection_RTNPRDASHBOARD.xlsmcalender1" hidden="1">calender</definedName>
    <definedName name="_xlcn.WorksheetConnection_RTNPRDASHBOARD.xlsmRTN_AND_ALIBAG_MARKET_SALES1" hidden="1">RTN_AND_ALIBAG_MARKET_SALES[]</definedName>
    <definedName name="_xlcn.WorksheetConnection_RTNPRDASHBOARD.xlsmTRIPS1" hidden="1">TRIPS[]</definedName>
    <definedName name="ExternalData_1" localSheetId="1" hidden="1">'RTN AND ALIBAG MARKET SALES'!$B$1:$H$295</definedName>
    <definedName name="ExternalData_1" localSheetId="3" hidden="1">TRIPS!$B$1:$J$42</definedName>
    <definedName name="Slicer_Month_name">#N/A</definedName>
    <definedName name="Slicer_month_name1">#N/A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IPS" name="TRIPS" connection="WorksheetConnection_RTN PR DASHBOARD.xlsm!TRIPS"/>
          <x15:modelTable id="RTN_AND_ALIBAG_MARKET_SALES" name="RTN_AND_ALIBAG_MARKET_SALES" connection="WorksheetConnection_RTN PR DASHBOARD.xlsm!RTN_AND_ALIBAG_MARKET_SALES"/>
          <x15:modelTable id="calender" name="calender" connection="WorksheetConnection_RTN PR DASHBOARD.xlsm!calender"/>
        </x15:modelTables>
        <x15:modelRelationships>
          <x15:modelRelationship fromTable="calender" fromColumn="si no" toTable="RTN_AND_ALIBAG_MARKET_SALES" toColumn="SI no"/>
          <x15:modelRelationship fromTable="calender" fromColumn="si no" toTable="TRIPS" toColumn="SI NO"/>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96" l="1"/>
  <c r="L2" i="47"/>
  <c r="L3" i="47"/>
  <c r="L4" i="47"/>
  <c r="L5" i="47"/>
  <c r="L6" i="47"/>
  <c r="L7" i="47"/>
  <c r="L8" i="47"/>
  <c r="L9" i="47"/>
  <c r="L10" i="47"/>
  <c r="L11" i="47"/>
  <c r="L12" i="47"/>
  <c r="L13" i="47"/>
  <c r="L14" i="47"/>
  <c r="L15" i="47"/>
  <c r="L16" i="47"/>
  <c r="L17"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K38" i="47"/>
  <c r="K39" i="47"/>
  <c r="K40" i="47"/>
  <c r="K41" i="47"/>
  <c r="K42" i="47"/>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9975D6D-62E5-4098-8BEF-305FFB33CE3E}" keepAlive="1" name="Query - AL_02" description="Connection to the 'AL_02' query in the workbook." type="5" refreshedVersion="0" background="1">
    <dbPr connection="Provider=Microsoft.Mashup.OleDb.1;Data Source=$Workbook$;Location=AL_02;Extended Properties=&quot;&quot;" command="SELECT * FROM [AL_02]"/>
  </connection>
  <connection id="2" xr16:uid="{245D1F9D-86BA-4FAE-93B9-CEB4789557D5}" keepAlive="1" name="Query - AL_03" description="Connection to the 'AL_03' query in the workbook." type="5" refreshedVersion="8" background="1" saveData="1">
    <dbPr connection="Provider=Microsoft.Mashup.OleDb.1;Data Source=$Workbook$;Location=AL_03;Extended Properties=&quot;&quot;" command="SELECT * FROM [AL_03]"/>
  </connection>
  <connection id="3" xr16:uid="{B83C2121-ED1C-45E1-AB42-B30599F04ACA}" keepAlive="1" name="Query - AL_04" description="Connection to the 'AL_04' query in the workbook." type="5" refreshedVersion="0" background="1">
    <dbPr connection="Provider=Microsoft.Mashup.OleDb.1;Data Source=$Workbook$;Location=AL_04;Extended Properties=&quot;&quot;" command="SELECT * FROM [AL_04]"/>
  </connection>
  <connection id="4" xr16:uid="{8892DC51-2C26-4C27-94CB-D2A425E01183}" keepAlive="1" name="Query - AL_102" description="Connection to the 'AL_102' query in the workbook." type="5" refreshedVersion="0" background="1">
    <dbPr connection="Provider=Microsoft.Mashup.OleDb.1;Data Source=$Workbook$;Location=AL_102;Extended Properties=&quot;&quot;" command="SELECT * FROM [AL_102]"/>
  </connection>
  <connection id="5" xr16:uid="{0C984712-0C84-4DDF-8416-70B092DCDBD0}" keepAlive="1" name="Query - AL_103" description="Connection to the 'AL_103' query in the workbook." type="5" refreshedVersion="0" background="1">
    <dbPr connection="Provider=Microsoft.Mashup.OleDb.1;Data Source=$Workbook$;Location=AL_103;Extended Properties=&quot;&quot;" command="SELECT * FROM [AL_103]"/>
  </connection>
  <connection id="6" xr16:uid="{F7E66BC5-EE68-4A6B-AB09-0B2A09346682}" keepAlive="1" name="Query - AL_104" description="Connection to the 'AL_104' query in the workbook." type="5" refreshedVersion="8" background="1" saveData="1">
    <dbPr connection="Provider=Microsoft.Mashup.OleDb.1;Data Source=$Workbook$;Location=AL_104;Extended Properties=&quot;&quot;" command="SELECT * FROM [AL_104]"/>
  </connection>
  <connection id="7" xr16:uid="{BF55C9F8-3794-4F26-B670-A6A2B7B65E27}" keepAlive="1" name="Query - R_01" description="Connection to the 'R_01' query in the workbook." type="5" refreshedVersion="8" background="1" saveData="1">
    <dbPr connection="Provider=Microsoft.Mashup.OleDb.1;Data Source=$Workbook$;Location=R_01;Extended Properties=&quot;&quot;" command="SELECT * FROM [R_01]"/>
  </connection>
  <connection id="8" xr16:uid="{89849499-9C1D-40DE-90DD-0A3FA85C9A72}" keepAlive="1" name="Query - R_02" description="Connection to the 'R_02' query in the workbook." type="5" refreshedVersion="8" background="1" saveData="1">
    <dbPr connection="Provider=Microsoft.Mashup.OleDb.1;Data Source=$Workbook$;Location=R_02;Extended Properties=&quot;&quot;" command="SELECT * FROM [R_02]"/>
  </connection>
  <connection id="9" xr16:uid="{CBCE1A55-FC66-4B57-94A4-90A92B5B0C38}" keepAlive="1" name="Query - R_03" description="Connection to the 'R_03' query in the workbook." type="5" refreshedVersion="8" background="1" saveData="1">
    <dbPr connection="Provider=Microsoft.Mashup.OleDb.1;Data Source=$Workbook$;Location=R_03;Extended Properties=&quot;&quot;" command="SELECT * FROM [R_03]"/>
  </connection>
  <connection id="10" xr16:uid="{4814FEA4-0BFD-41A3-855E-FA98A533F34F}" keepAlive="1" name="Query - R_04" description="Connection to the 'R_04' query in the workbook." type="5" refreshedVersion="8" background="1" saveData="1">
    <dbPr connection="Provider=Microsoft.Mashup.OleDb.1;Data Source=$Workbook$;Location=R_04;Extended Properties=&quot;&quot;" command="SELECT * FROM [R_04]"/>
  </connection>
  <connection id="11" xr16:uid="{CEB518CC-896B-4BAD-86BF-E3A521D0F45C}" keepAlive="1" name="Query - R_05" description="Connection to the 'R_05' query in the workbook." type="5" refreshedVersion="8" background="1" saveData="1">
    <dbPr connection="Provider=Microsoft.Mashup.OleDb.1;Data Source=$Workbook$;Location=R_05;Extended Properties=&quot;&quot;" command="SELECT * FROM [R_05]"/>
  </connection>
  <connection id="12" xr16:uid="{FC06D638-6B36-4AC3-B52E-BBE1D8A03B47}" keepAlive="1" name="Query - R_06" description="Connection to the 'R_06' query in the workbook." type="5" refreshedVersion="8" background="1" saveData="1">
    <dbPr connection="Provider=Microsoft.Mashup.OleDb.1;Data Source=$Workbook$;Location=R_06;Extended Properties=&quot;&quot;" command="SELECT * FROM [R_06]"/>
  </connection>
  <connection id="13" xr16:uid="{DADD24E9-D1B3-47E1-95F7-7A8D2041BA73}" keepAlive="1" name="Query - R_08" description="Connection to the 'R_08' query in the workbook." type="5" refreshedVersion="8" background="1" saveData="1">
    <dbPr connection="Provider=Microsoft.Mashup.OleDb.1;Data Source=$Workbook$;Location=R_08;Extended Properties=&quot;&quot;" command="SELECT * FROM [R_08]"/>
  </connection>
  <connection id="14" xr16:uid="{57D12971-60B2-40B2-9FAA-D88ACE89F260}" keepAlive="1" name="Query - R_09" description="Connection to the 'R_09' query in the workbook." type="5" refreshedVersion="8" background="1" saveData="1">
    <dbPr connection="Provider=Microsoft.Mashup.OleDb.1;Data Source=$Workbook$;Location=R_09;Extended Properties=&quot;&quot;" command="SELECT * FROM [R_09]"/>
  </connection>
  <connection id="15" xr16:uid="{91D37897-4628-419D-9068-3AC0BAC4F432}" keepAlive="1" name="Query - R_10" description="Connection to the 'R_10' query in the workbook." type="5" refreshedVersion="8" background="1" saveData="1">
    <dbPr connection="Provider=Microsoft.Mashup.OleDb.1;Data Source=$Workbook$;Location=R_10;Extended Properties=&quot;&quot;" command="SELECT * FROM [R_10]"/>
  </connection>
  <connection id="16" xr16:uid="{BFFC1696-4B32-47F5-80AA-6555BE83043D}" keepAlive="1" name="Query - R_11" description="Connection to the 'R_11' query in the workbook." type="5" refreshedVersion="8" background="1" saveData="1">
    <dbPr connection="Provider=Microsoft.Mashup.OleDb.1;Data Source=$Workbook$;Location=R_11;Extended Properties=&quot;&quot;" command="SELECT * FROM [R_11]"/>
  </connection>
  <connection id="17" xr16:uid="{04782502-E44F-4CAE-AA2E-DC286E8186E1}" keepAlive="1" name="Query - R_12" description="Connection to the 'R_12' query in the workbook." type="5" refreshedVersion="8" background="1" saveData="1">
    <dbPr connection="Provider=Microsoft.Mashup.OleDb.1;Data Source=$Workbook$;Location=R_12;Extended Properties=&quot;&quot;" command="SELECT * FROM [R_12]"/>
  </connection>
  <connection id="18" xr16:uid="{CE6B7807-FA83-47C3-8D75-47F6CFD22774}" keepAlive="1" name="Query - R_13" description="Connection to the 'R_13' query in the workbook." type="5" refreshedVersion="8" background="1" saveData="1">
    <dbPr connection="Provider=Microsoft.Mashup.OleDb.1;Data Source=$Workbook$;Location=R_13;Extended Properties=&quot;&quot;" command="SELECT * FROM [R_13]"/>
  </connection>
  <connection id="19" xr16:uid="{4C9759FA-6CC3-4BF5-A597-307822D45CB8}" keepAlive="1" name="Query - R_14" description="Connection to the 'R_14' query in the workbook." type="5" refreshedVersion="8" background="1" saveData="1">
    <dbPr connection="Provider=Microsoft.Mashup.OleDb.1;Data Source=$Workbook$;Location=R_14;Extended Properties=&quot;&quot;" command="SELECT * FROM [R_14]"/>
  </connection>
  <connection id="20" xr16:uid="{D795EC81-1B18-4376-98D7-C12D1B44E59A}" keepAlive="1" name="Query - R_15" description="Connection to the 'R_15' query in the workbook." type="5" refreshedVersion="8" background="1" saveData="1">
    <dbPr connection="Provider=Microsoft.Mashup.OleDb.1;Data Source=$Workbook$;Location=R_15;Extended Properties=&quot;&quot;" command="SELECT * FROM [R_15]"/>
  </connection>
  <connection id="21" xr16:uid="{FB28F4A8-024E-4F75-8974-863F6784912F}" keepAlive="1" name="Query - R_16" description="Connection to the 'R_16' query in the workbook." type="5" refreshedVersion="8" background="1" saveData="1">
    <dbPr connection="Provider=Microsoft.Mashup.OleDb.1;Data Source=$Workbook$;Location=R_16;Extended Properties=&quot;&quot;" command="SELECT * FROM [R_16]"/>
  </connection>
  <connection id="22" xr16:uid="{58C9186D-CBAA-4D73-A6D8-7A6869C51A80}" keepAlive="1" name="Query - R_17" description="Connection to the 'R_17' query in the workbook." type="5" refreshedVersion="8" background="1" saveData="1">
    <dbPr connection="Provider=Microsoft.Mashup.OleDb.1;Data Source=$Workbook$;Location=R_17;Extended Properties=&quot;&quot;" command="SELECT * FROM [R_17]"/>
  </connection>
  <connection id="23" xr16:uid="{94DBBD74-EAEF-47B2-83B6-AB9E57AFF3E4}" keepAlive="1" name="Query - R_18" description="Connection to the 'R_18' query in the workbook." type="5" refreshedVersion="8" background="1" saveData="1">
    <dbPr connection="Provider=Microsoft.Mashup.OleDb.1;Data Source=$Workbook$;Location=R_18;Extended Properties=&quot;&quot;" command="SELECT * FROM [R_18]"/>
  </connection>
  <connection id="24" xr16:uid="{A53DEDF8-EE21-4A21-A595-D6C5541701CB}" keepAlive="1" name="Query - R_19" description="Connection to the 'R_19' query in the workbook." type="5" refreshedVersion="8" background="1" saveData="1">
    <dbPr connection="Provider=Microsoft.Mashup.OleDb.1;Data Source=$Workbook$;Location=R_19;Extended Properties=&quot;&quot;" command="SELECT * FROM [R_19]"/>
  </connection>
  <connection id="25" xr16:uid="{47139B6D-65CB-4FE2-A709-B794E3A8985B}" keepAlive="1" name="Query - R_20" description="Connection to the 'R_20' query in the workbook." type="5" refreshedVersion="8" background="1" saveData="1">
    <dbPr connection="Provider=Microsoft.Mashup.OleDb.1;Data Source=$Workbook$;Location=R_20;Extended Properties=&quot;&quot;" command="SELECT * FROM [R_20]"/>
  </connection>
  <connection id="26" xr16:uid="{922FD03E-7827-4EC7-8D62-3770140397DC}" keepAlive="1" name="Query - R_207" description="Connection to the 'R_207' query in the workbook." type="5" refreshedVersion="8" background="1" saveData="1">
    <dbPr connection="Provider=Microsoft.Mashup.OleDb.1;Data Source=$Workbook$;Location=R_207;Extended Properties=&quot;&quot;" command="SELECT * FROM [R_207]"/>
  </connection>
  <connection id="27" xr16:uid="{C1C75BE8-D133-4A35-A9CD-629181CBFDA9}" keepAlive="1" name="Query - R_21" description="Connection to the 'R_21' query in the workbook." type="5" refreshedVersion="8" background="1" saveData="1">
    <dbPr connection="Provider=Microsoft.Mashup.OleDb.1;Data Source=$Workbook$;Location=R_21;Extended Properties=&quot;&quot;" command="SELECT * FROM [R_21]"/>
  </connection>
  <connection id="28" xr16:uid="{4C14B995-31D1-41CA-9775-69428EE292E0}" keepAlive="1" name="Query - R_22" description="Connection to the 'R_22' query in the workbook." type="5" refreshedVersion="8" background="1" saveData="1">
    <dbPr connection="Provider=Microsoft.Mashup.OleDb.1;Data Source=$Workbook$;Location=R_22;Extended Properties=&quot;&quot;" command="SELECT * FROM [R_22]"/>
  </connection>
  <connection id="29" xr16:uid="{C9397666-83C2-4FD0-8763-B08A956CFB67}" keepAlive="1" name="Query - R_23" description="Connection to the 'R_23' query in the workbook." type="5" refreshedVersion="8" background="1" saveData="1">
    <dbPr connection="Provider=Microsoft.Mashup.OleDb.1;Data Source=$Workbook$;Location=R_23;Extended Properties=&quot;&quot;" command="SELECT * FROM [R_23]"/>
  </connection>
  <connection id="30" xr16:uid="{99AB6839-FD75-471E-BD3E-E714F396D545}" keepAlive="1" name="Query - R_24" description="Connection to the 'R_24' query in the workbook." type="5" refreshedVersion="8" background="1" saveData="1">
    <dbPr connection="Provider=Microsoft.Mashup.OleDb.1;Data Source=$Workbook$;Location=R_24;Extended Properties=&quot;&quot;" command="SELECT * FROM [R_24]"/>
  </connection>
  <connection id="31" xr16:uid="{26EBE0E4-4F4D-4080-B8DF-7D2F28E902C3}" keepAlive="1" name="Query - R_25" description="Connection to the 'R_25' query in the workbook." type="5" refreshedVersion="8" background="1" saveData="1">
    <dbPr connection="Provider=Microsoft.Mashup.OleDb.1;Data Source=$Workbook$;Location=R_25;Extended Properties=&quot;&quot;" command="SELECT * FROM [R_25]"/>
  </connection>
  <connection id="32" xr16:uid="{78AA112B-8A7F-4AB3-8C3E-E9353245CC62}" keepAlive="1" name="Query - R_26" description="Connection to the 'R_26' query in the workbook." type="5" refreshedVersion="8" background="1" saveData="1">
    <dbPr connection="Provider=Microsoft.Mashup.OleDb.1;Data Source=$Workbook$;Location=R_26;Extended Properties=&quot;&quot;" command="SELECT * FROM [R_26]"/>
  </connection>
  <connection id="33" xr16:uid="{A82BB341-5444-42A9-B85F-CA41A03659ED}" keepAlive="1" name="Query - R_27" description="Connection to the 'R_27' query in the workbook." type="5" refreshedVersion="8" background="1" saveData="1">
    <dbPr connection="Provider=Microsoft.Mashup.OleDb.1;Data Source=$Workbook$;Location=R_27;Extended Properties=&quot;&quot;" command="SELECT * FROM [R_27]"/>
  </connection>
  <connection id="34" xr16:uid="{76A058E8-8574-4EFD-9C29-51622F778053}" keepAlive="1" name="Query - R_28" description="Connection to the 'R_28' query in the workbook." type="5" refreshedVersion="8" background="1" saveData="1">
    <dbPr connection="Provider=Microsoft.Mashup.OleDb.1;Data Source=$Workbook$;Location=R_28;Extended Properties=&quot;&quot;" command="SELECT * FROM [R_28]"/>
  </connection>
  <connection id="35" xr16:uid="{C1E9EF1E-CEBE-4DC2-A1D4-6D7404DFE928}" keepAlive="1" name="Query - R_29" description="Connection to the 'R_29' query in the workbook." type="5" refreshedVersion="8" background="1" saveData="1">
    <dbPr connection="Provider=Microsoft.Mashup.OleDb.1;Data Source=$Workbook$;Location=R_29;Extended Properties=&quot;&quot;" command="SELECT * FROM [R_29]"/>
  </connection>
  <connection id="36" xr16:uid="{3311602A-65B7-4AA3-BD67-839ABE8FF77A}" keepAlive="1" name="Query - R_30" description="Connection to the 'R_30' query in the workbook." type="5" refreshedVersion="8" background="1" saveData="1">
    <dbPr connection="Provider=Microsoft.Mashup.OleDb.1;Data Source=$Workbook$;Location=R_30;Extended Properties=&quot;&quot;" command="SELECT * FROM [R_30]"/>
  </connection>
  <connection id="37" xr16:uid="{AC86522A-8892-4F81-8471-98DA8397259B}" keepAlive="1" name="Query - R_31" description="Connection to the 'R_31' query in the workbook." type="5" refreshedVersion="8" background="1" saveData="1">
    <dbPr connection="Provider=Microsoft.Mashup.OleDb.1;Data Source=$Workbook$;Location=R_31;Extended Properties=&quot;&quot;" command="SELECT * FROM [R_31]"/>
  </connection>
  <connection id="38" xr16:uid="{255DE348-E840-4594-B7C2-D4E6B7F2DFDB}" keepAlive="1" name="Query - R_32" description="Connection to the 'R_32' query in the workbook." type="5" refreshedVersion="8" background="1" saveData="1">
    <dbPr connection="Provider=Microsoft.Mashup.OleDb.1;Data Source=$Workbook$;Location=R_32;Extended Properties=&quot;&quot;" command="SELECT * FROM [R_32]"/>
  </connection>
  <connection id="39" xr16:uid="{23CC91A3-B06A-4375-9F3D-32B3AE7B4C6C}" keepAlive="1" name="Query - R_33" description="Connection to the 'R_33' query in the workbook." type="5" refreshedVersion="8" background="1" saveData="1">
    <dbPr connection="Provider=Microsoft.Mashup.OleDb.1;Data Source=$Workbook$;Location=R_33;Extended Properties=&quot;&quot;" command="SELECT * FROM [R_33]"/>
  </connection>
  <connection id="40" xr16:uid="{AA57CF2B-68C4-42BA-86FF-5021F98ED08F}" keepAlive="1" name="Query - R_34" description="Connection to the 'R_34' query in the workbook." type="5" refreshedVersion="8" background="1" saveData="1">
    <dbPr connection="Provider=Microsoft.Mashup.OleDb.1;Data Source=$Workbook$;Location=R_34;Extended Properties=&quot;&quot;" command="SELECT * FROM [R_34]"/>
  </connection>
  <connection id="41" xr16:uid="{64119D19-7220-43D3-8CAE-7C2C1BEDB742}" keepAlive="1" name="Query - R_35" description="Connection to the 'R_35' query in the workbook." type="5" refreshedVersion="8" background="1" saveData="1">
    <dbPr connection="Provider=Microsoft.Mashup.OleDb.1;Data Source=$Workbook$;Location=R_35;Extended Properties=&quot;&quot;" command="SELECT * FROM [R_35]"/>
  </connection>
  <connection id="42" xr16:uid="{9020AE4C-72DF-4A4E-94F9-19A691F40EA0}" keepAlive="1" name="Query - R_36" description="Connection to the 'R_36' query in the workbook." type="5" refreshedVersion="8" background="1" saveData="1">
    <dbPr connection="Provider=Microsoft.Mashup.OleDb.1;Data Source=$Workbook$;Location=R_36;Extended Properties=&quot;&quot;" command="SELECT * FROM [R_36]"/>
  </connection>
  <connection id="43" xr16:uid="{A6114A35-58D6-477E-9AC6-5CD6A0535E92}" keepAlive="1" name="Query - R_37" description="Connection to the 'R_37' query in the workbook." type="5" refreshedVersion="8" background="1" saveData="1">
    <dbPr connection="Provider=Microsoft.Mashup.OleDb.1;Data Source=$Workbook$;Location=R_37;Extended Properties=&quot;&quot;" command="SELECT * FROM [R_37]"/>
  </connection>
  <connection id="44" xr16:uid="{E68C41C0-77EC-4F3B-A1D4-A0D619FD8939}" keepAlive="1" name="Query - R_38" description="Connection to the 'R_38' query in the workbook." type="5" refreshedVersion="8" background="1" saveData="1">
    <dbPr connection="Provider=Microsoft.Mashup.OleDb.1;Data Source=$Workbook$;Location=R_38;Extended Properties=&quot;&quot;" command="SELECT * FROM [R_38]"/>
  </connection>
  <connection id="45" xr16:uid="{B4D7015A-E892-4C5D-8544-D0BBDB1A4E28}" keepAlive="1" name="Query - R_39" description="Connection to the 'R_39' query in the workbook." type="5" refreshedVersion="8" background="1" saveData="1">
    <dbPr connection="Provider=Microsoft.Mashup.OleDb.1;Data Source=$Workbook$;Location=R_39;Extended Properties=&quot;&quot;" command="SELECT * FROM [R_39]"/>
  </connection>
  <connection id="46" xr16:uid="{93E56D02-FEE8-4669-87B4-63CF92B65E13}" keepAlive="1" name="Query - R_40" description="Connection to the 'R_40' query in the workbook." type="5" refreshedVersion="8" background="1" saveData="1">
    <dbPr connection="Provider=Microsoft.Mashup.OleDb.1;Data Source=$Workbook$;Location=R_40;Extended Properties=&quot;&quot;" command="SELECT * FROM [R_40]"/>
  </connection>
  <connection id="47" xr16:uid="{494A59D6-FCC9-4418-9F3F-1176B5BE76C8}" keepAlive="1" name="Query - RTN AND ALIBAG MARKET SALES" description="Connection to the 'RTN AND ALIBAG MARKET SALES' query in the workbook." type="5" refreshedVersion="8" background="1" saveData="1">
    <dbPr connection="Provider=Microsoft.Mashup.OleDb.1;Data Source=$Workbook$;Location=&quot;RTN AND ALIBAG MARKET SALES&quot;;Extended Properties=&quot;&quot;" command="SELECT * FROM [RTN AND ALIBAG MARKET SALES]"/>
  </connection>
  <connection id="48" xr16:uid="{C42B3188-B421-46A5-B232-D3ECFC1877CB}" keepAlive="1" name="Query - RTN_201" description="Connection to the 'RTN_201' query in the workbook." type="5" refreshedVersion="8" background="1" saveData="1">
    <dbPr connection="Provider=Microsoft.Mashup.OleDb.1;Data Source=$Workbook$;Location=RTN_201;Extended Properties=&quot;&quot;" command="SELECT * FROM [RTN_201]"/>
  </connection>
  <connection id="49" xr16:uid="{B55FE2B8-79EA-4702-A437-6EECA27EB28D}" keepAlive="1" name="Query - RTN_202" description="Connection to the 'RTN_202' query in the workbook." type="5" refreshedVersion="8" background="1" saveData="1">
    <dbPr connection="Provider=Microsoft.Mashup.OleDb.1;Data Source=$Workbook$;Location=RTN_202;Extended Properties=&quot;&quot;" command="SELECT * FROM [RTN_202]"/>
  </connection>
  <connection id="50" xr16:uid="{D9B36672-5825-42DD-B01E-A8623517E417}" keepAlive="1" name="Query - RTN_203" description="Connection to the 'RTN_203' query in the workbook." type="5" refreshedVersion="8" background="1" saveData="1">
    <dbPr connection="Provider=Microsoft.Mashup.OleDb.1;Data Source=$Workbook$;Location=RTN_203;Extended Properties=&quot;&quot;" command="SELECT * FROM [RTN_203]"/>
  </connection>
  <connection id="51" xr16:uid="{D7295B3D-7000-47E0-8349-84CA41CDA0DE}" keepAlive="1" name="Query - RTN_204" description="Connection to the 'RTN_204' query in the workbook." type="5" refreshedVersion="0" background="1">
    <dbPr connection="Provider=Microsoft.Mashup.OleDb.1;Data Source=$Workbook$;Location=RTN_204;Extended Properties=&quot;&quot;" command="SELECT * FROM [RTN_204]"/>
  </connection>
  <connection id="52" xr16:uid="{AC416B60-1DFD-4A59-A3CA-1187DB1AB835}" keepAlive="1" name="Query - RTN_205" description="Connection to the 'RTN_205' query in the workbook." type="5" refreshedVersion="8" background="1" saveData="1">
    <dbPr connection="Provider=Microsoft.Mashup.OleDb.1;Data Source=$Workbook$;Location=RTN_205;Extended Properties=&quot;&quot;" command="SELECT * FROM [RTN_205]"/>
  </connection>
  <connection id="53" xr16:uid="{64A87AC9-CF88-4091-81D0-2747C9103F21}" keepAlive="1" name="Query - RTN_206" description="Connection to the 'RTN_206' query in the workbook." type="5" refreshedVersion="8" background="1" saveData="1">
    <dbPr connection="Provider=Microsoft.Mashup.OleDb.1;Data Source=$Workbook$;Location=RTN_206;Extended Properties=&quot;&quot;" command="SELECT * FROM [RTN_206]"/>
  </connection>
  <connection id="54" xr16:uid="{AC2EA0FA-5442-4C70-BBEE-3BE4AD74765A}" keepAlive="1" name="Query - RTN_207" description="Connection to the 'RTN_207' query in the workbook." type="5" refreshedVersion="8" background="1" saveData="1">
    <dbPr connection="Provider=Microsoft.Mashup.OleDb.1;Data Source=$Workbook$;Location=RTN_207;Extended Properties=&quot;&quot;" command="SELECT * FROM [RTN_207]"/>
  </connection>
  <connection id="55" xr16:uid="{99844DAB-EC19-4703-AE80-5822A45CFBF5}" keepAlive="1" name="Query - RTN_208" description="Connection to the 'RTN_208' query in the workbook." type="5" refreshedVersion="8" background="1" saveData="1">
    <dbPr connection="Provider=Microsoft.Mashup.OleDb.1;Data Source=$Workbook$;Location=RTN_208;Extended Properties=&quot;&quot;" command="SELECT * FROM [RTN_208]"/>
  </connection>
  <connection id="56" xr16:uid="{FDA52243-F64D-4E39-9837-C871275ADC37}" keepAlive="1" name="Query - RTN_209" description="Connection to the 'RTN_209' query in the workbook." type="5" refreshedVersion="8" background="1" saveData="1">
    <dbPr connection="Provider=Microsoft.Mashup.OleDb.1;Data Source=$Workbook$;Location=RTN_209;Extended Properties=&quot;&quot;" command="SELECT * FROM [RTN_209]"/>
  </connection>
  <connection id="57" xr16:uid="{A3EF6D39-BC0F-4191-BB71-114FD85987CA}" keepAlive="1" name="Query - RTN_210" description="Connection to the 'RTN_210' query in the workbook." type="5" refreshedVersion="8" background="1" saveData="1">
    <dbPr connection="Provider=Microsoft.Mashup.OleDb.1;Data Source=$Workbook$;Location=RTN_210;Extended Properties=&quot;&quot;" command="SELECT * FROM [RTN_210]"/>
  </connection>
  <connection id="58" xr16:uid="{7738B78F-3096-4122-AA5F-F42D1F80B286}" keepAlive="1" name="Query - RTN_211" description="Connection to the 'RTN_211' query in the workbook." type="5" refreshedVersion="8" background="1" saveData="1">
    <dbPr connection="Provider=Microsoft.Mashup.OleDb.1;Data Source=$Workbook$;Location=RTN_211;Extended Properties=&quot;&quot;" command="SELECT * FROM [RTN_211]"/>
  </connection>
  <connection id="59" xr16:uid="{02491DDB-7B97-4664-AA02-E487915428EE}" keepAlive="1" name="Query - RTN_212" description="Connection to the 'RTN_212' query in the workbook." type="5" refreshedVersion="8" background="1" saveData="1">
    <dbPr connection="Provider=Microsoft.Mashup.OleDb.1;Data Source=$Workbook$;Location=RTN_212;Extended Properties=&quot;&quot;" command="SELECT * FROM [RTN_212]"/>
  </connection>
  <connection id="60" xr16:uid="{426056DB-D1E1-4380-9481-35C4A7EDF460}" keepAlive="1" name="Query - RTN_213" description="Connection to the 'RTN_213' query in the workbook." type="5" refreshedVersion="8" background="1" saveData="1">
    <dbPr connection="Provider=Microsoft.Mashup.OleDb.1;Data Source=$Workbook$;Location=RTN_213;Extended Properties=&quot;&quot;" command="SELECT * FROM [RTN_213]"/>
  </connection>
  <connection id="61" xr16:uid="{BFD82560-8E34-48F8-9A7D-36E0D9C5FDC9}" keepAlive="1" name="Query - RTN_214" description="Connection to the 'RTN_214' query in the workbook." type="5" refreshedVersion="8" background="1" saveData="1">
    <dbPr connection="Provider=Microsoft.Mashup.OleDb.1;Data Source=$Workbook$;Location=RTN_214;Extended Properties=&quot;&quot;" command="SELECT * FROM [RTN_214]"/>
  </connection>
  <connection id="62" xr16:uid="{F144B233-309D-4505-8991-BA58206B8BEF}" keepAlive="1" name="Query - RTN_215" description="Connection to the 'RTN_215' query in the workbook." type="5" refreshedVersion="8" background="1" saveData="1">
    <dbPr connection="Provider=Microsoft.Mashup.OleDb.1;Data Source=$Workbook$;Location=RTN_215;Extended Properties=&quot;&quot;" command="SELECT * FROM [RTN_215]"/>
  </connection>
  <connection id="63" xr16:uid="{1E291761-6F78-4C6D-82DC-E0DCBE3E5638}" keepAlive="1" name="Query - RTN_216" description="Connection to the 'RTN_216' query in the workbook." type="5" refreshedVersion="8" background="1" saveData="1">
    <dbPr connection="Provider=Microsoft.Mashup.OleDb.1;Data Source=$Workbook$;Location=RTN_216;Extended Properties=&quot;&quot;" command="SELECT * FROM [RTN_216]"/>
  </connection>
  <connection id="64" xr16:uid="{20233F23-1A3D-4DD9-835B-8BC8965DD852}" keepAlive="1" name="Query - RTN_218" description="Connection to the 'RTN_218' query in the workbook." type="5" refreshedVersion="8" background="1" saveData="1">
    <dbPr connection="Provider=Microsoft.Mashup.OleDb.1;Data Source=$Workbook$;Location=RTN_218;Extended Properties=&quot;&quot;" command="SELECT * FROM [RTN_218]"/>
  </connection>
  <connection id="65" xr16:uid="{B32D6DCD-81E6-4355-B4DD-C4575026BBCC}" keepAlive="1" name="Query - RTN_219" description="Connection to the 'RTN_219' query in the workbook." type="5" refreshedVersion="8" background="1" saveData="1">
    <dbPr connection="Provider=Microsoft.Mashup.OleDb.1;Data Source=$Workbook$;Location=RTN_219;Extended Properties=&quot;&quot;" command="SELECT * FROM [RTN_219]"/>
  </connection>
  <connection id="66" xr16:uid="{4AB4D085-9071-42BD-939D-3E7E633C5FC1}" keepAlive="1" name="Query - RTN_22" description="Connection to the 'RTN_22' query in the workbook." type="5" refreshedVersion="8" background="1" saveData="1">
    <dbPr connection="Provider=Microsoft.Mashup.OleDb.1;Data Source=$Workbook$;Location=RTN_22;Extended Properties=&quot;&quot;" command="SELECT * FROM [RTN_22]"/>
  </connection>
  <connection id="67" xr16:uid="{D1FC6678-EE0C-40EA-873C-861A4F529B82}" keepAlive="1" name="Query - RTN_220" description="Connection to the 'RTN_220' query in the workbook." type="5" refreshedVersion="8" background="1" saveData="1">
    <dbPr connection="Provider=Microsoft.Mashup.OleDb.1;Data Source=$Workbook$;Location=RTN_220;Extended Properties=&quot;&quot;" command="SELECT * FROM [RTN_220]"/>
  </connection>
  <connection id="68" xr16:uid="{5D91AC2E-8507-48B1-87B5-364BC7007096}" keepAlive="1" name="Query - RTN_221" description="Connection to the 'RTN_221' query in the workbook." type="5" refreshedVersion="8" background="1" saveData="1">
    <dbPr connection="Provider=Microsoft.Mashup.OleDb.1;Data Source=$Workbook$;Location=RTN_221;Extended Properties=&quot;&quot;" command="SELECT * FROM [RTN_221]"/>
  </connection>
  <connection id="69" xr16:uid="{7093A90B-4D2C-411E-80E2-13692F304BC9}" keepAlive="1" name="Query - RTN_223" description="Connection to the 'RTN_223' query in the workbook." type="5" refreshedVersion="8" background="1" saveData="1">
    <dbPr connection="Provider=Microsoft.Mashup.OleDb.1;Data Source=$Workbook$;Location=RTN_223;Extended Properties=&quot;&quot;" command="SELECT * FROM [RTN_223]"/>
  </connection>
  <connection id="70" xr16:uid="{528436A8-4318-4FB8-A24D-8F84AA3B1CA5}" keepAlive="1" name="Query - RTN_224" description="Connection to the 'RTN_224' query in the workbook." type="5" refreshedVersion="8" background="1" saveData="1">
    <dbPr connection="Provider=Microsoft.Mashup.OleDb.1;Data Source=$Workbook$;Location=RTN_224;Extended Properties=&quot;&quot;" command="SELECT * FROM [RTN_224]"/>
  </connection>
  <connection id="71" xr16:uid="{1D65F4D3-3829-4EA6-8A34-62C3E49F5687}" keepAlive="1" name="Query - RTN_225" description="Connection to the 'RTN_225' query in the workbook." type="5" refreshedVersion="8" background="1" saveData="1">
    <dbPr connection="Provider=Microsoft.Mashup.OleDb.1;Data Source=$Workbook$;Location=RTN_225;Extended Properties=&quot;&quot;" command="SELECT * FROM [RTN_225]"/>
  </connection>
  <connection id="72" xr16:uid="{9AA84290-B6FE-4383-BCA5-40E9CF035163}" keepAlive="1" name="Query - RTN_226" description="Connection to the 'RTN_226' query in the workbook." type="5" refreshedVersion="8" background="1" saveData="1">
    <dbPr connection="Provider=Microsoft.Mashup.OleDb.1;Data Source=$Workbook$;Location=RTN_226;Extended Properties=&quot;&quot;" command="SELECT * FROM [RTN_226]"/>
  </connection>
  <connection id="73" xr16:uid="{F8132857-D352-48D2-8201-B1BD04CBE552}" keepAlive="1" name="Query - RTN_228" description="Connection to the 'RTN_228' query in the workbook." type="5" refreshedVersion="8" background="1" saveData="1">
    <dbPr connection="Provider=Microsoft.Mashup.OleDb.1;Data Source=$Workbook$;Location=RTN_228;Extended Properties=&quot;&quot;" command="SELECT * FROM [RTN_228]"/>
  </connection>
  <connection id="74" xr16:uid="{BFEDC2E2-9B8C-462B-93F9-03E6BD56C336}" keepAlive="1" name="Query - RTN_229" description="Connection to the 'RTN_229' query in the workbook." type="5" refreshedVersion="8" background="1" saveData="1">
    <dbPr connection="Provider=Microsoft.Mashup.OleDb.1;Data Source=$Workbook$;Location=RTN_229;Extended Properties=&quot;&quot;" command="SELECT * FROM [RTN_229]"/>
  </connection>
  <connection id="75" xr16:uid="{8F67B080-F730-410D-B51A-DA83A410F5BB}" keepAlive="1" name="Query - RTN_230" description="Connection to the 'RTN_230' query in the workbook." type="5" refreshedVersion="8" background="1" saveData="1">
    <dbPr connection="Provider=Microsoft.Mashup.OleDb.1;Data Source=$Workbook$;Location=RTN_230;Extended Properties=&quot;&quot;" command="SELECT * FROM [RTN_230]"/>
  </connection>
  <connection id="76" xr16:uid="{1D9082EC-96F5-42B5-980B-D2AD51241EC6}" keepAlive="1" name="Query - RTN_231" description="Connection to the 'RTN_231' query in the workbook." type="5" refreshedVersion="8" background="1" saveData="1">
    <dbPr connection="Provider=Microsoft.Mashup.OleDb.1;Data Source=$Workbook$;Location=RTN_231;Extended Properties=&quot;&quot;" command="SELECT * FROM [RTN_231]"/>
  </connection>
  <connection id="77" xr16:uid="{A011499C-614B-4C86-89F3-7324A8C38956}" keepAlive="1" name="Query - RTN_232" description="Connection to the 'RTN_232' query in the workbook." type="5" refreshedVersion="8" background="1" saveData="1">
    <dbPr connection="Provider=Microsoft.Mashup.OleDb.1;Data Source=$Workbook$;Location=RTN_232;Extended Properties=&quot;&quot;" command="SELECT * FROM [RTN_232]"/>
  </connection>
  <connection id="78" xr16:uid="{6E7A0228-9C90-45C4-BF9D-C5F221B46C78}" keepAlive="1" name="Query - RTN_233" description="Connection to the 'RTN_233' query in the workbook." type="5" refreshedVersion="8" background="1" saveData="1">
    <dbPr connection="Provider=Microsoft.Mashup.OleDb.1;Data Source=$Workbook$;Location=RTN_233;Extended Properties=&quot;&quot;" command="SELECT * FROM [RTN_233]"/>
  </connection>
  <connection id="79" xr16:uid="{2ADEF6B3-1AAE-4B31-A97D-4AAE66569130}" keepAlive="1" name="Query - RTN_234" description="Connection to the 'RTN_234' query in the workbook." type="5" refreshedVersion="8" background="1" saveData="1">
    <dbPr connection="Provider=Microsoft.Mashup.OleDb.1;Data Source=$Workbook$;Location=RTN_234;Extended Properties=&quot;&quot;" command="SELECT * FROM [RTN_234]"/>
  </connection>
  <connection id="80" xr16:uid="{9030E63F-79D4-4274-8AF5-FCF66AC6A165}" keepAlive="1" name="Query - RTN_235" description="Connection to the 'RTN_235' query in the workbook." type="5" refreshedVersion="8" background="1" saveData="1">
    <dbPr connection="Provider=Microsoft.Mashup.OleDb.1;Data Source=$Workbook$;Location=RTN_235;Extended Properties=&quot;&quot;" command="SELECT * FROM [RTN_235]"/>
  </connection>
  <connection id="81" xr16:uid="{9B824D9E-BE81-4F23-B1D8-58B58EB355C6}" keepAlive="1" name="Query - RTN_236" description="Connection to the 'RTN_236' query in the workbook." type="5" refreshedVersion="8" background="1" saveData="1">
    <dbPr connection="Provider=Microsoft.Mashup.OleDb.1;Data Source=$Workbook$;Location=RTN_236;Extended Properties=&quot;&quot;" command="SELECT * FROM [RTN_236]"/>
  </connection>
  <connection id="82" xr16:uid="{25EF1DA3-A883-41AB-B2A4-498DE508C6BC}" keepAlive="1" name="Query - RTN_237" description="Connection to the 'RTN_237' query in the workbook." type="5" refreshedVersion="8" background="1" saveData="1">
    <dbPr connection="Provider=Microsoft.Mashup.OleDb.1;Data Source=$Workbook$;Location=RTN_237;Extended Properties=&quot;&quot;" command="SELECT * FROM [RTN_237]"/>
  </connection>
  <connection id="83" xr16:uid="{C8E59AEC-D1AD-44F3-8DE8-0FC8B9C14DB5}" keepAlive="1" name="Query - RTN_238" description="Connection to the 'RTN_238' query in the workbook." type="5" refreshedVersion="8" background="1" saveData="1">
    <dbPr connection="Provider=Microsoft.Mashup.OleDb.1;Data Source=$Workbook$;Location=RTN_238;Extended Properties=&quot;&quot;" command="SELECT * FROM [RTN_238]"/>
  </connection>
  <connection id="84" xr16:uid="{C396BB43-FD60-453C-B5BA-34FD22CA7DF8}" keepAlive="1" name="Query - RTN_239" description="Connection to the 'RTN_239' query in the workbook." type="5" refreshedVersion="8" background="1" saveData="1">
    <dbPr connection="Provider=Microsoft.Mashup.OleDb.1;Data Source=$Workbook$;Location=RTN_239;Extended Properties=&quot;&quot;" command="SELECT * FROM [RTN_239]"/>
  </connection>
  <connection id="85" xr16:uid="{D14826A6-739E-4E84-B310-A3BAD2D92087}" keepAlive="1" name="Query - RTN_240" description="Connection to the 'RTN_240' query in the workbook." type="5" refreshedVersion="8" background="1" saveData="1">
    <dbPr connection="Provider=Microsoft.Mashup.OleDb.1;Data Source=$Workbook$;Location=RTN_240;Extended Properties=&quot;&quot;" command="SELECT * FROM [RTN_240]"/>
  </connection>
  <connection id="86" xr16:uid="{F500220C-1870-462E-A3F3-3940A7F0E26B}" keepAlive="1" name="Query - TRIPS" description="Connection to the 'TRIPS' query in the workbook." type="5" refreshedVersion="8" background="1" saveData="1">
    <dbPr connection="Provider=Microsoft.Mashup.OleDb.1;Data Source=$Workbook$;Location=TRIPS;Extended Properties=&quot;&quot;" command="SELECT * FROM [TRIPS]"/>
  </connection>
  <connection id="87" xr16:uid="{E590BC36-7937-4174-A12F-0B590918020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88" xr16:uid="{891F4642-D7DF-48B1-8960-C782A2F88A79}" name="WorksheetConnection_RTN PR DASHBOARD.xlsm!calender" type="102" refreshedVersion="8" minRefreshableVersion="5">
    <extLst>
      <ext xmlns:x15="http://schemas.microsoft.com/office/spreadsheetml/2010/11/main" uri="{DE250136-89BD-433C-8126-D09CA5730AF9}">
        <x15:connection id="calender" autoDelete="1">
          <x15:rangePr sourceName="_xlcn.WorksheetConnection_RTNPRDASHBOARD.xlsmcalender1"/>
        </x15:connection>
      </ext>
    </extLst>
  </connection>
  <connection id="89" xr16:uid="{C42842D3-B52C-432D-9692-26821E211B8D}" name="WorksheetConnection_RTN PR DASHBOARD.xlsm!RTN_AND_ALIBAG_MARKET_SALES" type="102" refreshedVersion="8" minRefreshableVersion="5">
    <extLst>
      <ext xmlns:x15="http://schemas.microsoft.com/office/spreadsheetml/2010/11/main" uri="{DE250136-89BD-433C-8126-D09CA5730AF9}">
        <x15:connection id="RTN_AND_ALIBAG_MARKET_SALES">
          <x15:rangePr sourceName="_xlcn.WorksheetConnection_RTNPRDASHBOARD.xlsmRTN_AND_ALIBAG_MARKET_SALES1"/>
        </x15:connection>
      </ext>
    </extLst>
  </connection>
  <connection id="90" xr16:uid="{FAB13DAE-3C52-4A3B-91F0-1E9FA4C4280C}" name="WorksheetConnection_RTN PR DASHBOARD.xlsm!TRIPS" type="102" refreshedVersion="8" minRefreshableVersion="5">
    <extLst>
      <ext xmlns:x15="http://schemas.microsoft.com/office/spreadsheetml/2010/11/main" uri="{DE250136-89BD-433C-8126-D09CA5730AF9}">
        <x15:connection id="TRIPS">
          <x15:rangePr sourceName="_xlcn.WorksheetConnection_RTNPRDASHBOARD.xlsmTRIPS1"/>
        </x15:connection>
      </ext>
    </extLst>
  </connection>
</connections>
</file>

<file path=xl/sharedStrings.xml><?xml version="1.0" encoding="utf-8"?>
<sst xmlns="http://schemas.openxmlformats.org/spreadsheetml/2006/main" count="747" uniqueCount="253">
  <si>
    <t>DATE</t>
  </si>
  <si>
    <t>PARTY NAME</t>
  </si>
  <si>
    <t>NICK NAME</t>
  </si>
  <si>
    <t>BOX</t>
  </si>
  <si>
    <t>ADVANCE</t>
  </si>
  <si>
    <t>ADV NO</t>
  </si>
  <si>
    <t>AMOUNT</t>
  </si>
  <si>
    <t>K-PALLI</t>
  </si>
  <si>
    <t>HMS</t>
  </si>
  <si>
    <t>ARYANAD</t>
  </si>
  <si>
    <t>TSF</t>
  </si>
  <si>
    <t>CHAKKUVALLY</t>
  </si>
  <si>
    <t>TWK</t>
  </si>
  <si>
    <t>NEDUMANGAD</t>
  </si>
  <si>
    <t>SHA</t>
  </si>
  <si>
    <t>PALLAM</t>
  </si>
  <si>
    <t>LF</t>
  </si>
  <si>
    <t>NEYYATTINKARA</t>
  </si>
  <si>
    <t>NB</t>
  </si>
  <si>
    <t xml:space="preserve">PANACHAMOODU </t>
  </si>
  <si>
    <t>RSF</t>
  </si>
  <si>
    <t>VENJARAMOODU</t>
  </si>
  <si>
    <t>YSN</t>
  </si>
  <si>
    <t>KARUVATTA</t>
  </si>
  <si>
    <t>CHS</t>
  </si>
  <si>
    <t>CHAKKUWALLI</t>
  </si>
  <si>
    <t>HARI-PADU</t>
  </si>
  <si>
    <t>KNH</t>
  </si>
  <si>
    <t>KAYAMKULAM</t>
  </si>
  <si>
    <t>KK</t>
  </si>
  <si>
    <t>E-PODUMON</t>
  </si>
  <si>
    <t>EPN</t>
  </si>
  <si>
    <t>KAYAMKULAM OWN</t>
  </si>
  <si>
    <t xml:space="preserve">KUNDOTY </t>
  </si>
  <si>
    <t>CM</t>
  </si>
  <si>
    <t>THALLICHERY</t>
  </si>
  <si>
    <t>MKM</t>
  </si>
  <si>
    <t xml:space="preserve">K PALLI </t>
  </si>
  <si>
    <t>LH</t>
  </si>
  <si>
    <t>CALICUT CENTRAL</t>
  </si>
  <si>
    <t>KSB</t>
  </si>
  <si>
    <t>CHAKKUVALLI</t>
  </si>
  <si>
    <t xml:space="preserve"> BH</t>
  </si>
  <si>
    <t>VENJARAMOD</t>
  </si>
  <si>
    <t>ALANGOD</t>
  </si>
  <si>
    <t>BISMI</t>
  </si>
  <si>
    <t>ADOOR</t>
  </si>
  <si>
    <t>AS</t>
  </si>
  <si>
    <t>AMBALABUJA  ZAMZAM</t>
  </si>
  <si>
    <t>ZAMZAM</t>
  </si>
  <si>
    <t>KARIVATTA   CHS</t>
  </si>
  <si>
    <t>ADOOR AS</t>
  </si>
  <si>
    <t>KAYIKOLAM     AFK</t>
  </si>
  <si>
    <t>AFK</t>
  </si>
  <si>
    <t>YETMANUR  EBF</t>
  </si>
  <si>
    <t>EBF</t>
  </si>
  <si>
    <t xml:space="preserve">PAIPAD PMM </t>
  </si>
  <si>
    <t>PMM</t>
  </si>
  <si>
    <t>CHANGANACHERY MR</t>
  </si>
  <si>
    <t>MR</t>
  </si>
  <si>
    <t>CHAKKAVALLI THAWAKKAL</t>
  </si>
  <si>
    <t>KUMBAJA ZULFI</t>
  </si>
  <si>
    <t>ZULFI</t>
  </si>
  <si>
    <t xml:space="preserve">NADUMANGAD SHA </t>
  </si>
  <si>
    <t>ALANGOD  BISMI</t>
  </si>
  <si>
    <t>YANGARAMOD YSN</t>
  </si>
  <si>
    <t>K PALLI  HMS</t>
  </si>
  <si>
    <t>CHERTHALA AKT</t>
  </si>
  <si>
    <t>AKT</t>
  </si>
  <si>
    <t>KALAVOOR  FREIENDS</t>
  </si>
  <si>
    <t>FRIENDS</t>
  </si>
  <si>
    <t>KAIKOLAM AFK</t>
  </si>
  <si>
    <t>K PALLI BH</t>
  </si>
  <si>
    <t>BH</t>
  </si>
  <si>
    <t>K PALLI EPN</t>
  </si>
  <si>
    <t>K PALLI LH</t>
  </si>
  <si>
    <t>NB-BISMI</t>
  </si>
  <si>
    <t>PANCHAMOODU</t>
  </si>
  <si>
    <t>NIYYATINKARA</t>
  </si>
  <si>
    <t>YETTUMANUR</t>
  </si>
  <si>
    <t>THODUPUZHA</t>
  </si>
  <si>
    <t>NFT</t>
  </si>
  <si>
    <t>H.M.S</t>
  </si>
  <si>
    <t>KOTTARAKKARA</t>
  </si>
  <si>
    <t>JNS</t>
  </si>
  <si>
    <t>BH AND CO</t>
  </si>
  <si>
    <t>M.A WAHAB</t>
  </si>
  <si>
    <t>CALICUT BEACH</t>
  </si>
  <si>
    <t>KMK</t>
  </si>
  <si>
    <t>THIROOR</t>
  </si>
  <si>
    <t>TTS</t>
  </si>
  <si>
    <t>CALICUT</t>
  </si>
  <si>
    <t>PPC</t>
  </si>
  <si>
    <t>KUNNAKOLAM</t>
  </si>
  <si>
    <t>OMS</t>
  </si>
  <si>
    <t>VALANCHERY</t>
  </si>
  <si>
    <t>BFC</t>
  </si>
  <si>
    <t>PERAMBA</t>
  </si>
  <si>
    <t>FRS</t>
  </si>
  <si>
    <t>K.M.K</t>
  </si>
  <si>
    <t>HARIPAD</t>
  </si>
  <si>
    <t>E PODUMON</t>
  </si>
  <si>
    <t>NILESHWARA</t>
  </si>
  <si>
    <t>MKS</t>
  </si>
  <si>
    <t>TALIPARAMBA</t>
  </si>
  <si>
    <t>KMG</t>
  </si>
  <si>
    <t>KUNDOTTY</t>
  </si>
  <si>
    <t xml:space="preserve">KOTTARAKARA </t>
  </si>
  <si>
    <t>CHERTHALA</t>
  </si>
  <si>
    <t xml:space="preserve">KALAVOOR </t>
  </si>
  <si>
    <t>YENJARAMOD</t>
  </si>
  <si>
    <t>NIYYATIGERA</t>
  </si>
  <si>
    <t>SHAFI</t>
  </si>
  <si>
    <t>MARTHANDA</t>
  </si>
  <si>
    <t>THIRUR</t>
  </si>
  <si>
    <t>KALAVOOR</t>
  </si>
  <si>
    <t>NIYYATIGERE</t>
  </si>
  <si>
    <t>KARIVATTA</t>
  </si>
  <si>
    <t>K PALLI</t>
  </si>
  <si>
    <t>KUNNAKULAM</t>
  </si>
  <si>
    <t>YETMANUR</t>
  </si>
  <si>
    <t>PANCHAMOD</t>
  </si>
  <si>
    <t>THALICHERY</t>
  </si>
  <si>
    <t>PANACHAMOODU</t>
  </si>
  <si>
    <t>HMS - KPALLI</t>
  </si>
  <si>
    <t>K PALL</t>
  </si>
  <si>
    <t xml:space="preserve">PAIPAD </t>
  </si>
  <si>
    <t>CHANGANACHERRY</t>
  </si>
  <si>
    <t>MRM</t>
  </si>
  <si>
    <t xml:space="preserve">NIYYATTINKARA </t>
  </si>
  <si>
    <t xml:space="preserve">PANCHAMOOD </t>
  </si>
  <si>
    <t>PAIPAD</t>
  </si>
  <si>
    <t>KNSF</t>
  </si>
  <si>
    <t>CHANGANCHERY</t>
  </si>
  <si>
    <t>KOLLAKADAVU</t>
  </si>
  <si>
    <t>SULFI</t>
  </si>
  <si>
    <t>KUMBAZHA</t>
  </si>
  <si>
    <t>RS</t>
  </si>
  <si>
    <t>Y-PIN</t>
  </si>
  <si>
    <t>STAR</t>
  </si>
  <si>
    <t xml:space="preserve">THODUPUZHA </t>
  </si>
  <si>
    <t xml:space="preserve">ADOOR </t>
  </si>
  <si>
    <t xml:space="preserve">ARYANADU </t>
  </si>
  <si>
    <t xml:space="preserve">NEDUMANGAD </t>
  </si>
  <si>
    <t>THALLIPURAM</t>
  </si>
  <si>
    <t>KUNNAMKULAM</t>
  </si>
  <si>
    <t xml:space="preserve">CHAKKUVALLI </t>
  </si>
  <si>
    <t>KALIKALA</t>
  </si>
  <si>
    <t>KKV</t>
  </si>
  <si>
    <t>ARYANADU</t>
  </si>
  <si>
    <t>NIYATINKARA</t>
  </si>
  <si>
    <t>KALAMUKKU</t>
  </si>
  <si>
    <t xml:space="preserve">TRIVENDRUM </t>
  </si>
  <si>
    <t>7 STAR SEA FOOD</t>
  </si>
  <si>
    <t>KALLIKALA</t>
  </si>
  <si>
    <t xml:space="preserve">KUNNAKOLAM </t>
  </si>
  <si>
    <t xml:space="preserve">THIROOR </t>
  </si>
  <si>
    <t>TRIVENDRUM</t>
  </si>
  <si>
    <t>GFR</t>
  </si>
  <si>
    <t xml:space="preserve">PANCHAMOODU </t>
  </si>
  <si>
    <t xml:space="preserve">KANHANGAD </t>
  </si>
  <si>
    <t>KASARAGOD</t>
  </si>
  <si>
    <t>ASF</t>
  </si>
  <si>
    <t>ALUVA</t>
  </si>
  <si>
    <t>PMJ</t>
  </si>
  <si>
    <t>CHAMBAKERE</t>
  </si>
  <si>
    <t>PAV</t>
  </si>
  <si>
    <t>MALPE</t>
  </si>
  <si>
    <t>MS</t>
  </si>
  <si>
    <t>KANNUR</t>
  </si>
  <si>
    <t>AMS</t>
  </si>
  <si>
    <t>KAYAKULAM</t>
  </si>
  <si>
    <t xml:space="preserve">LF </t>
  </si>
  <si>
    <t>KALIYAKKAVILAI</t>
  </si>
  <si>
    <t xml:space="preserve">THALASSERY </t>
  </si>
  <si>
    <t>ALVE</t>
  </si>
  <si>
    <t>KALIYAKAVILAI</t>
  </si>
  <si>
    <t>PANACHAMOOFU</t>
  </si>
  <si>
    <t>PALLOM</t>
  </si>
  <si>
    <t>MARTHANDAM</t>
  </si>
  <si>
    <t>ANNAI</t>
  </si>
  <si>
    <t xml:space="preserve">MARTHANDA </t>
  </si>
  <si>
    <t>KOILANDI</t>
  </si>
  <si>
    <t>SEA DIAMOND</t>
  </si>
  <si>
    <t>TIRUR</t>
  </si>
  <si>
    <t>KUNNAMKOLAM</t>
  </si>
  <si>
    <t>THALASSEY</t>
  </si>
  <si>
    <t>THRISSUR</t>
  </si>
  <si>
    <t>KPC SONS</t>
  </si>
  <si>
    <t>NIYYATTINKERE</t>
  </si>
  <si>
    <t>PARAMPALLI</t>
  </si>
  <si>
    <t>ABV</t>
  </si>
  <si>
    <t>ALAMCODE</t>
  </si>
  <si>
    <t>TRIVENDRUM DATE NOT CLEAR</t>
  </si>
  <si>
    <t>SSISH</t>
  </si>
  <si>
    <t>SPT</t>
  </si>
  <si>
    <t>M RASHEED</t>
  </si>
  <si>
    <t>TRIVANDRUM</t>
  </si>
  <si>
    <t xml:space="preserve">KALAMUKKU </t>
  </si>
  <si>
    <t xml:space="preserve">TP NO </t>
  </si>
  <si>
    <t>LORRY NO</t>
  </si>
  <si>
    <t>TP DATE</t>
  </si>
  <si>
    <t>TRIP NO</t>
  </si>
  <si>
    <t>TOTAL BOX</t>
  </si>
  <si>
    <t>TOTAL BOX MATCHING</t>
  </si>
  <si>
    <t>PURCHASE</t>
  </si>
  <si>
    <t>RENT</t>
  </si>
  <si>
    <t>LINE</t>
  </si>
  <si>
    <t>KA20 AB 6393</t>
  </si>
  <si>
    <t>MATCHING TOTAL BOX</t>
  </si>
  <si>
    <t xml:space="preserve">NOT MATCHING </t>
  </si>
  <si>
    <t>KA20-AB-5295</t>
  </si>
  <si>
    <t>KA20-D-6299</t>
  </si>
  <si>
    <t>KA20-AB-5293</t>
  </si>
  <si>
    <t>KA20-AC-0724</t>
  </si>
  <si>
    <t>KA20-AC-1055</t>
  </si>
  <si>
    <t>KA20-AC-0723</t>
  </si>
  <si>
    <t>KA20-AB-6393</t>
  </si>
  <si>
    <t>KA20-AB-8828</t>
  </si>
  <si>
    <t>KA20 AB 5295</t>
  </si>
  <si>
    <t>KA19 AC 5382</t>
  </si>
  <si>
    <t>KA20 AC 1055</t>
  </si>
  <si>
    <t>KA20 AC 0723</t>
  </si>
  <si>
    <t>KA20 AB 5293</t>
  </si>
  <si>
    <t>KA20 AB 7130</t>
  </si>
  <si>
    <t>KA20 AA 1066</t>
  </si>
  <si>
    <t>KA20 AC 6393</t>
  </si>
  <si>
    <t>KA20 D 3384</t>
  </si>
  <si>
    <t>KA20 D 5128</t>
  </si>
  <si>
    <t>Row Labels</t>
  </si>
  <si>
    <t>Grand Total</t>
  </si>
  <si>
    <t>Sum of AMOUNT</t>
  </si>
  <si>
    <t>month name</t>
  </si>
  <si>
    <t>SI no</t>
  </si>
  <si>
    <t>SI NO</t>
  </si>
  <si>
    <t>Month name</t>
  </si>
  <si>
    <t>Sep</t>
  </si>
  <si>
    <t>Oct</t>
  </si>
  <si>
    <t>Nov</t>
  </si>
  <si>
    <t>Dec</t>
  </si>
  <si>
    <t>nick name2</t>
  </si>
  <si>
    <t>Sum of ADVANCE</t>
  </si>
  <si>
    <t>Sum of BOX</t>
  </si>
  <si>
    <t>Sum of PURCHASE</t>
  </si>
  <si>
    <t>Sum of RENT</t>
  </si>
  <si>
    <t>Sum of LINE</t>
  </si>
  <si>
    <t>Vehicle last no</t>
  </si>
  <si>
    <t>Count of TRIP NO</t>
  </si>
  <si>
    <t>0723</t>
  </si>
  <si>
    <t>1055</t>
  </si>
  <si>
    <t>1066</t>
  </si>
  <si>
    <t>5293</t>
  </si>
  <si>
    <t>6393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</si>
</sst>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3" borderId="0" xfId="0" applyFill="1"/>
  </cellXfs>
  <cellStyles count="1">
    <cellStyle name="Normal" xfId="0" builtinId="0"/>
  </cellStyles>
  <dxfs count="14">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ill>
        <patternFill>
          <bgColor theme="2" tint="-9.9948118533890809E-2"/>
        </patternFill>
      </fill>
    </dxf>
    <dxf>
      <fill>
        <gradientFill degree="90">
          <stop position="0">
            <color theme="0" tint="-5.0965910824915313E-2"/>
          </stop>
          <stop position="1">
            <color theme="2" tint="-9.8025452436902985E-2"/>
          </stop>
        </gradientFill>
      </fill>
    </dxf>
  </dxfs>
  <tableStyles count="1" defaultTableStyle="TableStyleMedium2" defaultPivotStyle="PivotStyleLight16">
    <tableStyle name="Slicer Style 1" pivot="0" table="0" count="9" xr9:uid="{F2709DF8-0644-46F5-82ED-3EA5E0F822F5}">
      <tableStyleElement type="wholeTable" dxfId="13"/>
      <tableStyleElement type="headerRow" dxfId="12"/>
    </tableStyle>
  </tableStyles>
  <extLst>
    <ext xmlns:x14="http://schemas.microsoft.com/office/spreadsheetml/2009/9/main" uri="{46F421CA-312F-682f-3DD2-61675219B42D}">
      <x14:dxfs count="7">
        <dxf>
          <fill>
            <patternFill>
              <bgColor theme="4" tint="0.79998168889431442"/>
            </patternFill>
          </fill>
        </dxf>
        <dxf>
          <fill>
            <patternFill>
              <bgColor theme="4" tint="0.39994506668294322"/>
            </patternFill>
          </fill>
        </dxf>
        <dxf>
          <fill>
            <patternFill>
              <bgColor theme="3" tint="0.59996337778862885"/>
            </patternFill>
          </fill>
        </dxf>
        <dxf>
          <fill>
            <patternFill>
              <bgColor theme="9" tint="0.79998168889431442"/>
            </patternFill>
          </fill>
        </dxf>
        <dxf>
          <fill>
            <patternFill>
              <bgColor theme="9" tint="0.39994506668294322"/>
            </patternFill>
          </fill>
        </dxf>
        <dxf>
          <fill>
            <patternFill>
              <bgColor theme="5" tint="0.79998168889431442"/>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2.xml"/><Relationship Id="rId26" Type="http://schemas.openxmlformats.org/officeDocument/2006/relationships/customXml" Target="../customXml/item10.xml"/><Relationship Id="rId3" Type="http://schemas.openxmlformats.org/officeDocument/2006/relationships/worksheet" Target="worksheets/sheet3.xml"/><Relationship Id="rId21" Type="http://schemas.openxmlformats.org/officeDocument/2006/relationships/customXml" Target="../customXml/item5.xml"/><Relationship Id="rId34" Type="http://schemas.openxmlformats.org/officeDocument/2006/relationships/customXml" Target="../customXml/item18.xml"/><Relationship Id="rId7" Type="http://schemas.openxmlformats.org/officeDocument/2006/relationships/pivotCacheDefinition" Target="pivotCache/pivotCacheDefinition1.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8"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[RTN PR DASHBOARD.xlsm]Sheet1!PivotTable1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Total</a:t>
            </a:r>
            <a:r>
              <a:rPr lang="en-IN" b="1" baseline="0"/>
              <a:t> sales by month</a:t>
            </a:r>
            <a:endParaRPr lang="en-IN" b="1"/>
          </a:p>
        </c:rich>
      </c:tx>
      <c:overlay val="0"/>
      <c:spPr>
        <a:solidFill>
          <a:schemeClr val="bg1">
            <a:lumMod val="95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4"/>
                <c:pt idx="0">
                  <c:v>Sep</c:v>
                </c:pt>
                <c:pt idx="1">
                  <c:v>Oct</c:v>
                </c:pt>
                <c:pt idx="2">
                  <c:v>Nov</c:v>
                </c:pt>
                <c:pt idx="3">
                  <c:v>Dec</c:v>
                </c:pt>
              </c:strCache>
            </c:strRef>
          </c:cat>
          <c:val>
            <c:numRef>
              <c:f>Sheet1!$B$4:$B$8</c:f>
              <c:numCache>
                <c:formatCode>General</c:formatCode>
                <c:ptCount val="4"/>
                <c:pt idx="0">
                  <c:v>3194420</c:v>
                </c:pt>
                <c:pt idx="1">
                  <c:v>4612990</c:v>
                </c:pt>
                <c:pt idx="2">
                  <c:v>5715315</c:v>
                </c:pt>
                <c:pt idx="3">
                  <c:v>3935340</c:v>
                </c:pt>
              </c:numCache>
            </c:numRef>
          </c:val>
          <c:smooth val="0"/>
          <c:extLst>
            <c:ext xmlns:c16="http://schemas.microsoft.com/office/drawing/2014/chart" uri="{C3380CC4-5D6E-409C-BE32-E72D297353CC}">
              <c16:uniqueId val="{00000000-D71D-4E84-9A61-212524A679D2}"/>
            </c:ext>
          </c:extLst>
        </c:ser>
        <c:dLbls>
          <c:dLblPos val="t"/>
          <c:showLegendKey val="0"/>
          <c:showVal val="1"/>
          <c:showCatName val="0"/>
          <c:showSerName val="0"/>
          <c:showPercent val="0"/>
          <c:showBubbleSize val="0"/>
        </c:dLbls>
        <c:smooth val="0"/>
        <c:axId val="1017132655"/>
        <c:axId val="1667420255"/>
      </c:lineChart>
      <c:catAx>
        <c:axId val="1017132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67420255"/>
        <c:crosses val="autoZero"/>
        <c:auto val="1"/>
        <c:lblAlgn val="ctr"/>
        <c:lblOffset val="100"/>
        <c:noMultiLvlLbl val="0"/>
      </c:catAx>
      <c:valAx>
        <c:axId val="1667420255"/>
        <c:scaling>
          <c:orientation val="minMax"/>
        </c:scaling>
        <c:delete val="1"/>
        <c:axPos val="l"/>
        <c:numFmt formatCode="General" sourceLinked="1"/>
        <c:majorTickMark val="none"/>
        <c:minorTickMark val="none"/>
        <c:tickLblPos val="nextTo"/>
        <c:crossAx val="1017132655"/>
        <c:crosses val="autoZero"/>
        <c:crossBetween val="between"/>
      </c:valAx>
      <c:spPr>
        <a:noFill/>
        <a:ln>
          <a:noFill/>
        </a:ln>
        <a:effectLst>
          <a:innerShdw blurRad="63500" dist="50800" dir="18900000">
            <a:schemeClr val="accent1">
              <a:lumMod val="75000"/>
              <a:alpha val="50000"/>
            </a:schemeClr>
          </a:innerShdw>
          <a:softEdge rad="72390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22225"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[RTN PR DASHBOARD.xlsm]Sheet1!PivotTable2</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Fish Market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cmpd="sng">
            <a:solidFill>
              <a:schemeClr val="tx1">
                <a:lumMod val="95000"/>
                <a:lumOff val="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cmpd="sng">
            <a:solidFill>
              <a:schemeClr val="tx1">
                <a:lumMod val="95000"/>
                <a:lumOff val="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cmpd="sng">
            <a:solidFill>
              <a:schemeClr val="tx1">
                <a:lumMod val="95000"/>
                <a:lumOff val="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Sheet1!$C$11</c:f>
              <c:strCache>
                <c:ptCount val="1"/>
                <c:pt idx="0">
                  <c:v>Total</c:v>
                </c:pt>
              </c:strCache>
            </c:strRef>
          </c:tx>
          <c:spPr>
            <a:solidFill>
              <a:srgbClr val="00B0F0"/>
            </a:solidFill>
            <a:ln cmpd="sng">
              <a:solidFill>
                <a:schemeClr val="tx1">
                  <a:lumMod val="95000"/>
                  <a:lumOff val="5000"/>
                </a:schemeClr>
              </a:solidFill>
              <a:beve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Sheet1!$B$12:$B$22</c:f>
              <c:strCache>
                <c:ptCount val="10"/>
                <c:pt idx="0">
                  <c:v>LF</c:v>
                </c:pt>
                <c:pt idx="1">
                  <c:v>RSF</c:v>
                </c:pt>
                <c:pt idx="2">
                  <c:v>AS</c:v>
                </c:pt>
                <c:pt idx="3">
                  <c:v>TSF</c:v>
                </c:pt>
                <c:pt idx="4">
                  <c:v>YSN</c:v>
                </c:pt>
                <c:pt idx="5">
                  <c:v>BISMI</c:v>
                </c:pt>
                <c:pt idx="6">
                  <c:v>EBF</c:v>
                </c:pt>
                <c:pt idx="7">
                  <c:v>MKM</c:v>
                </c:pt>
                <c:pt idx="8">
                  <c:v>SHA</c:v>
                </c:pt>
                <c:pt idx="9">
                  <c:v>KNSF</c:v>
                </c:pt>
              </c:strCache>
            </c:strRef>
          </c:cat>
          <c:val>
            <c:numRef>
              <c:f>Sheet1!$C$12:$C$22</c:f>
              <c:numCache>
                <c:formatCode>General</c:formatCode>
                <c:ptCount val="10"/>
                <c:pt idx="0">
                  <c:v>2148700</c:v>
                </c:pt>
                <c:pt idx="1">
                  <c:v>1838300</c:v>
                </c:pt>
                <c:pt idx="2">
                  <c:v>905150</c:v>
                </c:pt>
                <c:pt idx="3">
                  <c:v>866150</c:v>
                </c:pt>
                <c:pt idx="4">
                  <c:v>788700</c:v>
                </c:pt>
                <c:pt idx="5">
                  <c:v>765150</c:v>
                </c:pt>
                <c:pt idx="6">
                  <c:v>757500</c:v>
                </c:pt>
                <c:pt idx="7">
                  <c:v>740400</c:v>
                </c:pt>
                <c:pt idx="8">
                  <c:v>656140</c:v>
                </c:pt>
                <c:pt idx="9">
                  <c:v>651800</c:v>
                </c:pt>
              </c:numCache>
            </c:numRef>
          </c:val>
          <c:extLst>
            <c:ext xmlns:c16="http://schemas.microsoft.com/office/drawing/2014/chart" uri="{C3380CC4-5D6E-409C-BE32-E72D297353CC}">
              <c16:uniqueId val="{00000000-BE2C-433C-83AE-28AF71620ED7}"/>
            </c:ext>
          </c:extLst>
        </c:ser>
        <c:dLbls>
          <c:dLblPos val="outEnd"/>
          <c:showLegendKey val="0"/>
          <c:showVal val="1"/>
          <c:showCatName val="0"/>
          <c:showSerName val="0"/>
          <c:showPercent val="0"/>
          <c:showBubbleSize val="0"/>
        </c:dLbls>
        <c:gapWidth val="182"/>
        <c:axId val="1664518335"/>
        <c:axId val="1766460431"/>
      </c:barChart>
      <c:catAx>
        <c:axId val="1664518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766460431"/>
        <c:crosses val="autoZero"/>
        <c:auto val="1"/>
        <c:lblAlgn val="ctr"/>
        <c:lblOffset val="100"/>
        <c:noMultiLvlLbl val="0"/>
      </c:catAx>
      <c:valAx>
        <c:axId val="17664604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664518335"/>
        <c:crosses val="autoZero"/>
        <c:crossBetween val="between"/>
      </c:valAx>
      <c:spPr>
        <a:solidFill>
          <a:schemeClr val="bg1">
            <a:lumMod val="9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25400" cap="rnd"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[RTN PR DASHBOARD.xlsm]Sheet1!PivotTable3</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adv cut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w="3175"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w="3175"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w="3175"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Sheet1!$C$28</c:f>
              <c:strCache>
                <c:ptCount val="1"/>
                <c:pt idx="0">
                  <c:v>Total</c:v>
                </c:pt>
              </c:strCache>
            </c:strRef>
          </c:tx>
          <c:spPr>
            <a:solidFill>
              <a:srgbClr val="00B0F0"/>
            </a:solidFill>
            <a:ln w="3175" cap="rnd">
              <a:solidFill>
                <a:schemeClr val="tx1">
                  <a:lumMod val="95000"/>
                  <a:lumOff val="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Sheet1!$B$29:$B$37</c:f>
              <c:strCache>
                <c:ptCount val="8"/>
                <c:pt idx="0">
                  <c:v>SHA</c:v>
                </c:pt>
                <c:pt idx="1">
                  <c:v>EPN</c:v>
                </c:pt>
                <c:pt idx="2">
                  <c:v>TTS</c:v>
                </c:pt>
                <c:pt idx="3">
                  <c:v>PMM</c:v>
                </c:pt>
                <c:pt idx="4">
                  <c:v>KMG</c:v>
                </c:pt>
                <c:pt idx="5">
                  <c:v>CM</c:v>
                </c:pt>
                <c:pt idx="6">
                  <c:v>7 STAR SEA FOOD</c:v>
                </c:pt>
                <c:pt idx="7">
                  <c:v>GFR</c:v>
                </c:pt>
              </c:strCache>
            </c:strRef>
          </c:cat>
          <c:val>
            <c:numRef>
              <c:f>Sheet1!$C$29:$C$37</c:f>
              <c:numCache>
                <c:formatCode>General</c:formatCode>
                <c:ptCount val="8"/>
                <c:pt idx="0">
                  <c:v>42000</c:v>
                </c:pt>
                <c:pt idx="1">
                  <c:v>10000</c:v>
                </c:pt>
                <c:pt idx="2">
                  <c:v>10000</c:v>
                </c:pt>
                <c:pt idx="3">
                  <c:v>10000</c:v>
                </c:pt>
                <c:pt idx="4">
                  <c:v>8000</c:v>
                </c:pt>
                <c:pt idx="5">
                  <c:v>6000</c:v>
                </c:pt>
                <c:pt idx="6">
                  <c:v>4000</c:v>
                </c:pt>
                <c:pt idx="7">
                  <c:v>4000</c:v>
                </c:pt>
              </c:numCache>
            </c:numRef>
          </c:val>
          <c:extLst>
            <c:ext xmlns:c16="http://schemas.microsoft.com/office/drawing/2014/chart" uri="{C3380CC4-5D6E-409C-BE32-E72D297353CC}">
              <c16:uniqueId val="{00000000-E64C-4493-A5FB-9D6ED60C0C37}"/>
            </c:ext>
          </c:extLst>
        </c:ser>
        <c:dLbls>
          <c:dLblPos val="outEnd"/>
          <c:showLegendKey val="0"/>
          <c:showVal val="1"/>
          <c:showCatName val="0"/>
          <c:showSerName val="0"/>
          <c:showPercent val="0"/>
          <c:showBubbleSize val="0"/>
        </c:dLbls>
        <c:gapWidth val="219"/>
        <c:overlap val="-27"/>
        <c:axId val="1664515455"/>
        <c:axId val="1664516415"/>
      </c:barChart>
      <c:catAx>
        <c:axId val="16645154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664516415"/>
        <c:crosses val="autoZero"/>
        <c:auto val="1"/>
        <c:lblAlgn val="ctr"/>
        <c:lblOffset val="100"/>
        <c:noMultiLvlLbl val="0"/>
      </c:catAx>
      <c:valAx>
        <c:axId val="1664516415"/>
        <c:scaling>
          <c:orientation val="minMax"/>
        </c:scaling>
        <c:delete val="1"/>
        <c:axPos val="l"/>
        <c:numFmt formatCode="General" sourceLinked="1"/>
        <c:majorTickMark val="out"/>
        <c:minorTickMark val="none"/>
        <c:tickLblPos val="nextTo"/>
        <c:crossAx val="1664515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19050"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[RTN PR DASHBOARD.xlsm]Sheet1!PivotTable4</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3 Sold Boxes in Markets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w="9525">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w="9525">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w="9525">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Sheet1!$C$46</c:f>
              <c:strCache>
                <c:ptCount val="1"/>
                <c:pt idx="0">
                  <c:v>Total</c:v>
                </c:pt>
              </c:strCache>
            </c:strRef>
          </c:tx>
          <c:spPr>
            <a:solidFill>
              <a:srgbClr val="00B0F0"/>
            </a:solidFill>
            <a:ln w="9525">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Sheet1!$B$47:$B$50</c:f>
              <c:strCache>
                <c:ptCount val="3"/>
                <c:pt idx="0">
                  <c:v>LF</c:v>
                </c:pt>
                <c:pt idx="1">
                  <c:v>RSF</c:v>
                </c:pt>
                <c:pt idx="2">
                  <c:v>YSN</c:v>
                </c:pt>
              </c:strCache>
            </c:strRef>
          </c:cat>
          <c:val>
            <c:numRef>
              <c:f>Sheet1!$C$47:$C$50</c:f>
              <c:numCache>
                <c:formatCode>General</c:formatCode>
                <c:ptCount val="3"/>
                <c:pt idx="0">
                  <c:v>1325</c:v>
                </c:pt>
                <c:pt idx="1">
                  <c:v>1088</c:v>
                </c:pt>
                <c:pt idx="2">
                  <c:v>508</c:v>
                </c:pt>
              </c:numCache>
            </c:numRef>
          </c:val>
          <c:extLst>
            <c:ext xmlns:c16="http://schemas.microsoft.com/office/drawing/2014/chart" uri="{C3380CC4-5D6E-409C-BE32-E72D297353CC}">
              <c16:uniqueId val="{00000000-FEDF-4F81-8D98-017CE43454D0}"/>
            </c:ext>
          </c:extLst>
        </c:ser>
        <c:dLbls>
          <c:dLblPos val="outEnd"/>
          <c:showLegendKey val="0"/>
          <c:showVal val="1"/>
          <c:showCatName val="0"/>
          <c:showSerName val="0"/>
          <c:showPercent val="0"/>
          <c:showBubbleSize val="0"/>
        </c:dLbls>
        <c:gapWidth val="182"/>
        <c:axId val="1672367551"/>
        <c:axId val="1672366111"/>
      </c:barChart>
      <c:catAx>
        <c:axId val="16723675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672366111"/>
        <c:crosses val="autoZero"/>
        <c:auto val="1"/>
        <c:lblAlgn val="ctr"/>
        <c:lblOffset val="100"/>
        <c:noMultiLvlLbl val="0"/>
      </c:catAx>
      <c:valAx>
        <c:axId val="1672366111"/>
        <c:scaling>
          <c:orientation val="minMax"/>
        </c:scaling>
        <c:delete val="1"/>
        <c:axPos val="b"/>
        <c:numFmt formatCode="General" sourceLinked="1"/>
        <c:majorTickMark val="out"/>
        <c:minorTickMark val="none"/>
        <c:tickLblPos val="nextTo"/>
        <c:crossAx val="1672367551"/>
        <c:crosses val="autoZero"/>
        <c:crossBetween val="between"/>
      </c:valAx>
      <c:spPr>
        <a:noFill/>
        <a:ln>
          <a:solidFill>
            <a:schemeClr val="tx1">
              <a:lumMod val="15000"/>
              <a:lumOff val="8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28575"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[RTN PR DASHBOARD.xlsm]Sheet3!PivotTable5</c:name>
    <c:fmtId val="6"/>
  </c:pivotSource>
  <c:chart>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4">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Sum of PURCHASE</c:v>
                </c:pt>
              </c:strCache>
            </c:strRef>
          </c:tx>
          <c:spPr>
            <a:solidFill>
              <a:srgbClr val="00B050"/>
            </a:solidFill>
            <a:ln>
              <a:noFill/>
            </a:ln>
            <a:effectLst/>
          </c:spPr>
          <c:invertIfNegative val="0"/>
          <c:cat>
            <c:strRef>
              <c:f>Sheet3!$A$4:$A$8</c:f>
              <c:strCache>
                <c:ptCount val="4"/>
                <c:pt idx="0">
                  <c:v>Sep</c:v>
                </c:pt>
                <c:pt idx="1">
                  <c:v>Oct</c:v>
                </c:pt>
                <c:pt idx="2">
                  <c:v>Nov</c:v>
                </c:pt>
                <c:pt idx="3">
                  <c:v>Dec</c:v>
                </c:pt>
              </c:strCache>
            </c:strRef>
          </c:cat>
          <c:val>
            <c:numRef>
              <c:f>Sheet3!$B$4:$B$8</c:f>
              <c:numCache>
                <c:formatCode>General</c:formatCode>
                <c:ptCount val="4"/>
                <c:pt idx="0">
                  <c:v>3355225</c:v>
                </c:pt>
                <c:pt idx="1">
                  <c:v>2908750</c:v>
                </c:pt>
                <c:pt idx="2">
                  <c:v>3668183</c:v>
                </c:pt>
                <c:pt idx="3">
                  <c:v>2668619</c:v>
                </c:pt>
              </c:numCache>
            </c:numRef>
          </c:val>
          <c:extLst>
            <c:ext xmlns:c16="http://schemas.microsoft.com/office/drawing/2014/chart" uri="{C3380CC4-5D6E-409C-BE32-E72D297353CC}">
              <c16:uniqueId val="{00000000-0FFB-4818-9897-C95B214BAAD8}"/>
            </c:ext>
          </c:extLst>
        </c:ser>
        <c:ser>
          <c:idx val="1"/>
          <c:order val="1"/>
          <c:tx>
            <c:strRef>
              <c:f>Sheet3!$C$3</c:f>
              <c:strCache>
                <c:ptCount val="1"/>
                <c:pt idx="0">
                  <c:v>Sum of RENT</c:v>
                </c:pt>
              </c:strCache>
            </c:strRef>
          </c:tx>
          <c:spPr>
            <a:solidFill>
              <a:schemeClr val="accent2">
                <a:lumMod val="75000"/>
              </a:schemeClr>
            </a:solidFill>
            <a:ln>
              <a:noFill/>
            </a:ln>
            <a:effectLst/>
          </c:spPr>
          <c:invertIfNegative val="0"/>
          <c:cat>
            <c:strRef>
              <c:f>Sheet3!$A$4:$A$8</c:f>
              <c:strCache>
                <c:ptCount val="4"/>
                <c:pt idx="0">
                  <c:v>Sep</c:v>
                </c:pt>
                <c:pt idx="1">
                  <c:v>Oct</c:v>
                </c:pt>
                <c:pt idx="2">
                  <c:v>Nov</c:v>
                </c:pt>
                <c:pt idx="3">
                  <c:v>Dec</c:v>
                </c:pt>
              </c:strCache>
            </c:strRef>
          </c:cat>
          <c:val>
            <c:numRef>
              <c:f>Sheet3!$C$4:$C$8</c:f>
              <c:numCache>
                <c:formatCode>General</c:formatCode>
                <c:ptCount val="4"/>
                <c:pt idx="0">
                  <c:v>1257280</c:v>
                </c:pt>
                <c:pt idx="1">
                  <c:v>768770</c:v>
                </c:pt>
                <c:pt idx="2">
                  <c:v>1724709</c:v>
                </c:pt>
                <c:pt idx="3">
                  <c:v>925106</c:v>
                </c:pt>
              </c:numCache>
            </c:numRef>
          </c:val>
          <c:extLst>
            <c:ext xmlns:c16="http://schemas.microsoft.com/office/drawing/2014/chart" uri="{C3380CC4-5D6E-409C-BE32-E72D297353CC}">
              <c16:uniqueId val="{00000001-0FFB-4818-9897-C95B214BAAD8}"/>
            </c:ext>
          </c:extLst>
        </c:ser>
        <c:dLbls>
          <c:showLegendKey val="0"/>
          <c:showVal val="0"/>
          <c:showCatName val="0"/>
          <c:showSerName val="0"/>
          <c:showPercent val="0"/>
          <c:showBubbleSize val="0"/>
        </c:dLbls>
        <c:gapWidth val="219"/>
        <c:overlap val="-27"/>
        <c:axId val="1042155119"/>
        <c:axId val="1774854879"/>
      </c:barChart>
      <c:lineChart>
        <c:grouping val="standard"/>
        <c:varyColors val="0"/>
        <c:ser>
          <c:idx val="2"/>
          <c:order val="2"/>
          <c:tx>
            <c:strRef>
              <c:f>Sheet3!$D$3</c:f>
              <c:strCache>
                <c:ptCount val="1"/>
                <c:pt idx="0">
                  <c:v>Sum of LINE</c:v>
                </c:pt>
              </c:strCache>
            </c:strRef>
          </c:tx>
          <c:spPr>
            <a:ln w="28575" cap="rnd">
              <a:solidFill>
                <a:schemeClr val="accent4">
                  <a:lumMod val="75000"/>
                </a:schemeClr>
              </a:solidFill>
              <a:round/>
            </a:ln>
            <a:effectLst/>
          </c:spPr>
          <c:marker>
            <c:symbol val="none"/>
          </c:marker>
          <c:cat>
            <c:strRef>
              <c:f>Sheet3!$A$4:$A$8</c:f>
              <c:strCache>
                <c:ptCount val="4"/>
                <c:pt idx="0">
                  <c:v>Sep</c:v>
                </c:pt>
                <c:pt idx="1">
                  <c:v>Oct</c:v>
                </c:pt>
                <c:pt idx="2">
                  <c:v>Nov</c:v>
                </c:pt>
                <c:pt idx="3">
                  <c:v>Dec</c:v>
                </c:pt>
              </c:strCache>
            </c:strRef>
          </c:cat>
          <c:val>
            <c:numRef>
              <c:f>Sheet3!$D$4:$D$8</c:f>
              <c:numCache>
                <c:formatCode>General</c:formatCode>
                <c:ptCount val="4"/>
                <c:pt idx="0">
                  <c:v>44000</c:v>
                </c:pt>
                <c:pt idx="1">
                  <c:v>28000</c:v>
                </c:pt>
                <c:pt idx="2">
                  <c:v>60000</c:v>
                </c:pt>
                <c:pt idx="3">
                  <c:v>32000</c:v>
                </c:pt>
              </c:numCache>
            </c:numRef>
          </c:val>
          <c:smooth val="0"/>
          <c:extLst>
            <c:ext xmlns:c16="http://schemas.microsoft.com/office/drawing/2014/chart" uri="{C3380CC4-5D6E-409C-BE32-E72D297353CC}">
              <c16:uniqueId val="{00000002-0FFB-4818-9897-C95B214BAAD8}"/>
            </c:ext>
          </c:extLst>
        </c:ser>
        <c:dLbls>
          <c:showLegendKey val="0"/>
          <c:showVal val="0"/>
          <c:showCatName val="0"/>
          <c:showSerName val="0"/>
          <c:showPercent val="0"/>
          <c:showBubbleSize val="0"/>
        </c:dLbls>
        <c:marker val="1"/>
        <c:smooth val="0"/>
        <c:axId val="1778943631"/>
        <c:axId val="741575247"/>
      </c:lineChart>
      <c:catAx>
        <c:axId val="1042155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solidFill>
                    <a:schemeClr val="tx1">
                      <a:lumMod val="95000"/>
                      <a:lumOff val="5000"/>
                    </a:schemeClr>
                  </a:solidFill>
                </a:ln>
                <a:solidFill>
                  <a:schemeClr val="tx1">
                    <a:lumMod val="65000"/>
                    <a:lumOff val="35000"/>
                  </a:schemeClr>
                </a:solidFill>
                <a:latin typeface="+mn-lt"/>
                <a:ea typeface="+mn-ea"/>
                <a:cs typeface="+mn-cs"/>
              </a:defRPr>
            </a:pPr>
            <a:endParaRPr lang="en-US"/>
          </a:p>
        </c:txPr>
        <c:crossAx val="1774854879"/>
        <c:crosses val="autoZero"/>
        <c:auto val="1"/>
        <c:lblAlgn val="ctr"/>
        <c:lblOffset val="100"/>
        <c:noMultiLvlLbl val="0"/>
      </c:catAx>
      <c:valAx>
        <c:axId val="17748548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tx1">
                      <a:lumMod val="95000"/>
                      <a:lumOff val="5000"/>
                    </a:schemeClr>
                  </a:solidFill>
                </a:ln>
                <a:solidFill>
                  <a:schemeClr val="tx1">
                    <a:lumMod val="65000"/>
                    <a:lumOff val="35000"/>
                  </a:schemeClr>
                </a:solidFill>
                <a:latin typeface="+mn-lt"/>
                <a:ea typeface="+mn-ea"/>
                <a:cs typeface="+mn-cs"/>
              </a:defRPr>
            </a:pPr>
            <a:endParaRPr lang="en-US"/>
          </a:p>
        </c:txPr>
        <c:crossAx val="1042155119"/>
        <c:crosses val="autoZero"/>
        <c:crossBetween val="between"/>
      </c:valAx>
      <c:valAx>
        <c:axId val="74157524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tx1">
                      <a:lumMod val="95000"/>
                      <a:lumOff val="5000"/>
                    </a:schemeClr>
                  </a:solidFill>
                </a:ln>
                <a:solidFill>
                  <a:schemeClr val="tx1">
                    <a:lumMod val="65000"/>
                    <a:lumOff val="35000"/>
                  </a:schemeClr>
                </a:solidFill>
                <a:latin typeface="+mn-lt"/>
                <a:ea typeface="+mn-ea"/>
                <a:cs typeface="+mn-cs"/>
              </a:defRPr>
            </a:pPr>
            <a:endParaRPr lang="en-US"/>
          </a:p>
        </c:txPr>
        <c:crossAx val="1778943631"/>
        <c:crosses val="max"/>
        <c:crossBetween val="between"/>
      </c:valAx>
      <c:catAx>
        <c:axId val="1778943631"/>
        <c:scaling>
          <c:orientation val="minMax"/>
        </c:scaling>
        <c:delete val="1"/>
        <c:axPos val="b"/>
        <c:numFmt formatCode="General" sourceLinked="1"/>
        <c:majorTickMark val="out"/>
        <c:minorTickMark val="none"/>
        <c:tickLblPos val="nextTo"/>
        <c:crossAx val="741575247"/>
        <c:crosses val="autoZero"/>
        <c:auto val="1"/>
        <c:lblAlgn val="ctr"/>
        <c:lblOffset val="100"/>
        <c:noMultiLvlLbl val="0"/>
      </c:catAx>
      <c:spPr>
        <a:noFill/>
        <a:ln>
          <a:noFill/>
        </a:ln>
        <a:effectLst/>
      </c:spPr>
    </c:plotArea>
    <c:legend>
      <c:legendPos val="t"/>
      <c:overlay val="0"/>
      <c:spPr>
        <a:solidFill>
          <a:schemeClr val="accent4">
            <a:lumMod val="20000"/>
            <a:lumOff val="80000"/>
          </a:schemeClr>
        </a:solid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22225"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[RTN PR DASHBOARD.xlsm]Sheet3!PivotTable6</c:name>
    <c:fmtId val="1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5 Trips done Vehicles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solidFill>
              <a:schemeClr val="bg1">
                <a:lumMod val="85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a:outerShdw blurRad="254000" sx="102000" sy="102000" algn="ctr" rotWithShape="0">
              <a:prstClr val="black">
                <a:alpha val="20000"/>
              </a:prstClr>
            </a:outerShdw>
          </a:effectLst>
        </c:spPr>
      </c:pivotFmt>
      <c:pivotFmt>
        <c:idx val="2"/>
        <c:spPr>
          <a:solidFill>
            <a:srgbClr val="00B050"/>
          </a:solidFill>
          <a:ln>
            <a:noFill/>
          </a:ln>
          <a:effectLst>
            <a:outerShdw blurRad="254000" sx="102000" sy="102000" algn="ctr" rotWithShape="0">
              <a:prstClr val="black">
                <a:alpha val="20000"/>
              </a:prstClr>
            </a:outerShdw>
          </a:effectLst>
        </c:spPr>
      </c:pivotFmt>
      <c:pivotFmt>
        <c:idx val="3"/>
        <c:spPr>
          <a:solidFill>
            <a:schemeClr val="accent4">
              <a:lumMod val="75000"/>
            </a:schemeClr>
          </a:solidFill>
          <a:ln>
            <a:noFill/>
          </a:ln>
          <a:effectLst>
            <a:outerShdw blurRad="254000" sx="102000" sy="102000" algn="ctr" rotWithShape="0">
              <a:prstClr val="black">
                <a:alpha val="20000"/>
              </a:prstClr>
            </a:outerShdw>
          </a:effectLst>
        </c:spPr>
      </c:pivotFmt>
      <c:pivotFmt>
        <c:idx val="4"/>
        <c:spPr>
          <a:solidFill>
            <a:srgbClr val="FF0000"/>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bg1">
                <a:lumMod val="85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a:outerShdw blurRad="254000" sx="102000" sy="102000" algn="ctr" rotWithShape="0">
              <a:prstClr val="black">
                <a:alpha val="20000"/>
              </a:prstClr>
            </a:outerShdw>
          </a:effectLst>
        </c:spPr>
      </c:pivotFmt>
      <c:pivotFmt>
        <c:idx val="7"/>
        <c:spPr>
          <a:solidFill>
            <a:srgbClr val="00B050"/>
          </a:solidFill>
          <a:ln>
            <a:noFill/>
          </a:ln>
          <a:effectLst>
            <a:outerShdw blurRad="254000" sx="102000" sy="102000" algn="ctr" rotWithShape="0">
              <a:prstClr val="black">
                <a:alpha val="20000"/>
              </a:prstClr>
            </a:outerShdw>
          </a:effectLst>
        </c:spPr>
      </c:pivotFmt>
      <c:pivotFmt>
        <c:idx val="8"/>
        <c:spPr>
          <a:solidFill>
            <a:schemeClr val="accent4">
              <a:lumMod val="75000"/>
            </a:schemeClr>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rgbClr val="FF0000"/>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bg1">
                <a:lumMod val="85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lumMod val="75000"/>
            </a:schemeClr>
          </a:solidFill>
          <a:ln>
            <a:noFill/>
          </a:ln>
          <a:effectLst>
            <a:outerShdw blurRad="254000" sx="102000" sy="102000" algn="ctr" rotWithShape="0">
              <a:prstClr val="black">
                <a:alpha val="20000"/>
              </a:prstClr>
            </a:outerShdw>
          </a:effectLst>
        </c:spPr>
      </c:pivotFmt>
      <c:pivotFmt>
        <c:idx val="13"/>
        <c:spPr>
          <a:solidFill>
            <a:srgbClr val="00B050"/>
          </a:solidFill>
          <a:ln>
            <a:noFill/>
          </a:ln>
          <a:effectLst>
            <a:outerShdw blurRad="254000" sx="102000" sy="102000" algn="ctr" rotWithShape="0">
              <a:prstClr val="black">
                <a:alpha val="20000"/>
              </a:prstClr>
            </a:outerShdw>
          </a:effectLst>
        </c:spPr>
      </c:pivotFmt>
      <c:pivotFmt>
        <c:idx val="14"/>
        <c:spPr>
          <a:solidFill>
            <a:schemeClr val="accent4">
              <a:lumMod val="75000"/>
            </a:schemeClr>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rgbClr val="FF0000"/>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2217147856517933"/>
          <c:y val="0.12541666666666668"/>
          <c:w val="0.51641666666666663"/>
          <c:h val="0.86069444444444443"/>
        </c:manualLayout>
      </c:layout>
      <c:doughnutChart>
        <c:varyColors val="1"/>
        <c:ser>
          <c:idx val="0"/>
          <c:order val="0"/>
          <c:tx>
            <c:strRef>
              <c:f>Sheet3!$B$14</c:f>
              <c:strCache>
                <c:ptCount val="1"/>
                <c:pt idx="0">
                  <c:v>Total</c:v>
                </c:pt>
              </c:strCache>
            </c:strRef>
          </c:tx>
          <c:explosion val="4"/>
          <c:dPt>
            <c:idx val="0"/>
            <c:bubble3D val="0"/>
            <c:spPr>
              <a:solidFill>
                <a:schemeClr val="accent6">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AB1-4BFA-8965-9398231F1456}"/>
              </c:ext>
            </c:extLst>
          </c:dPt>
          <c:dPt>
            <c:idx val="1"/>
            <c:bubble3D val="0"/>
            <c:spPr>
              <a:solidFill>
                <a:srgbClr val="00B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AB1-4BFA-8965-9398231F1456}"/>
              </c:ext>
            </c:extLst>
          </c:dPt>
          <c:dPt>
            <c:idx val="2"/>
            <c:bubble3D val="0"/>
            <c:spPr>
              <a:solidFill>
                <a:schemeClr val="accent4">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AB1-4BFA-8965-9398231F145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AB1-4BFA-8965-9398231F1456}"/>
              </c:ext>
            </c:extLst>
          </c:dPt>
          <c:dPt>
            <c:idx val="4"/>
            <c:bubble3D val="0"/>
            <c:spPr>
              <a:solidFill>
                <a:srgbClr val="FF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AB1-4BFA-8965-9398231F1456}"/>
              </c:ext>
            </c:extLst>
          </c:dPt>
          <c:dLbls>
            <c:spPr>
              <a:solidFill>
                <a:schemeClr val="bg1">
                  <a:lumMod val="85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Sheet3!$A$15:$A$20</c:f>
              <c:strCache>
                <c:ptCount val="5"/>
                <c:pt idx="0">
                  <c:v>6393</c:v>
                </c:pt>
                <c:pt idx="1">
                  <c:v>5293</c:v>
                </c:pt>
                <c:pt idx="2">
                  <c:v>1055</c:v>
                </c:pt>
                <c:pt idx="3">
                  <c:v>0723</c:v>
                </c:pt>
                <c:pt idx="4">
                  <c:v>1066</c:v>
                </c:pt>
              </c:strCache>
            </c:strRef>
          </c:cat>
          <c:val>
            <c:numRef>
              <c:f>Sheet3!$B$15:$B$20</c:f>
              <c:numCache>
                <c:formatCode>General</c:formatCode>
                <c:ptCount val="5"/>
                <c:pt idx="0">
                  <c:v>7</c:v>
                </c:pt>
                <c:pt idx="1">
                  <c:v>7</c:v>
                </c:pt>
                <c:pt idx="2">
                  <c:v>6</c:v>
                </c:pt>
                <c:pt idx="3">
                  <c:v>4</c:v>
                </c:pt>
                <c:pt idx="4">
                  <c:v>4</c:v>
                </c:pt>
              </c:numCache>
            </c:numRef>
          </c:val>
          <c:extLst>
            <c:ext xmlns:c16="http://schemas.microsoft.com/office/drawing/2014/chart" uri="{C3380CC4-5D6E-409C-BE32-E72D297353CC}">
              <c16:uniqueId val="{0000000A-1AB1-4BFA-8965-9398231F145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8035611711274011"/>
          <c:y val="0.25223242927967332"/>
          <c:w val="0.20084100178514783"/>
          <c:h val="0.6452573636628753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ln>
                <a:solidFill>
                  <a:schemeClr val="tx1">
                    <a:lumMod val="95000"/>
                    <a:lumOff val="5000"/>
                  </a:schemeClr>
                </a:solidFill>
              </a:ln>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25400"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222250</xdr:colOff>
      <xdr:row>0</xdr:row>
      <xdr:rowOff>42333</xdr:rowOff>
    </xdr:from>
    <xdr:to>
      <xdr:col>16</xdr:col>
      <xdr:colOff>22412</xdr:colOff>
      <xdr:row>3</xdr:row>
      <xdr:rowOff>52917</xdr:rowOff>
    </xdr:to>
    <xdr:sp macro="" textlink="">
      <xdr:nvSpPr>
        <xdr:cNvPr id="2" name="Rectangle: Rounded Corners 1">
          <a:extLst>
            <a:ext uri="{FF2B5EF4-FFF2-40B4-BE49-F238E27FC236}">
              <a16:creationId xmlns:a16="http://schemas.microsoft.com/office/drawing/2014/main" id="{C3936D09-FE2F-01BA-E441-DA7DE041D072}"/>
            </a:ext>
          </a:extLst>
        </xdr:cNvPr>
        <xdr:cNvSpPr/>
      </xdr:nvSpPr>
      <xdr:spPr>
        <a:xfrm>
          <a:off x="222250" y="42333"/>
          <a:ext cx="9482044" cy="582084"/>
        </a:xfrm>
        <a:prstGeom prst="round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kern="1200"/>
            <a:t>R</a:t>
          </a:r>
          <a:r>
            <a:rPr lang="en-IN" sz="2800" b="1" kern="1200" baseline="0"/>
            <a:t> T N FISH SALES ANALYSIS</a:t>
          </a:r>
          <a:endParaRPr lang="en-IN" sz="2800" b="1" kern="1200"/>
        </a:p>
      </xdr:txBody>
    </xdr:sp>
    <xdr:clientData/>
  </xdr:twoCellAnchor>
  <xdr:twoCellAnchor>
    <xdr:from>
      <xdr:col>0</xdr:col>
      <xdr:colOff>291355</xdr:colOff>
      <xdr:row>3</xdr:row>
      <xdr:rowOff>89647</xdr:rowOff>
    </xdr:from>
    <xdr:to>
      <xdr:col>8</xdr:col>
      <xdr:colOff>39144</xdr:colOff>
      <xdr:row>11</xdr:row>
      <xdr:rowOff>78440</xdr:rowOff>
    </xdr:to>
    <xdr:graphicFrame macro="">
      <xdr:nvGraphicFramePr>
        <xdr:cNvPr id="3" name="Chart 2">
          <a:extLst>
            <a:ext uri="{FF2B5EF4-FFF2-40B4-BE49-F238E27FC236}">
              <a16:creationId xmlns:a16="http://schemas.microsoft.com/office/drawing/2014/main" id="{539BAB1D-B6F3-4BE6-8E93-6E2558187F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313764</xdr:colOff>
      <xdr:row>11</xdr:row>
      <xdr:rowOff>179294</xdr:rowOff>
    </xdr:from>
    <xdr:to>
      <xdr:col>8</xdr:col>
      <xdr:colOff>44823</xdr:colOff>
      <xdr:row>26</xdr:row>
      <xdr:rowOff>64994</xdr:rowOff>
    </xdr:to>
    <xdr:graphicFrame macro="">
      <xdr:nvGraphicFramePr>
        <xdr:cNvPr id="4" name="Chart 3">
          <a:extLst>
            <a:ext uri="{FF2B5EF4-FFF2-40B4-BE49-F238E27FC236}">
              <a16:creationId xmlns:a16="http://schemas.microsoft.com/office/drawing/2014/main" id="{FA34A63D-43C8-4AFF-8703-19A7CDB44D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117432</xdr:colOff>
      <xdr:row>12</xdr:row>
      <xdr:rowOff>26096</xdr:rowOff>
    </xdr:from>
    <xdr:to>
      <xdr:col>16</xdr:col>
      <xdr:colOff>26096</xdr:colOff>
      <xdr:row>26</xdr:row>
      <xdr:rowOff>78287</xdr:rowOff>
    </xdr:to>
    <xdr:graphicFrame macro="">
      <xdr:nvGraphicFramePr>
        <xdr:cNvPr id="5" name="Chart 4">
          <a:extLst>
            <a:ext uri="{FF2B5EF4-FFF2-40B4-BE49-F238E27FC236}">
              <a16:creationId xmlns:a16="http://schemas.microsoft.com/office/drawing/2014/main" id="{96CCBFF6-1FA5-44BB-A481-44810E1264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91335</xdr:colOff>
      <xdr:row>3</xdr:row>
      <xdr:rowOff>91336</xdr:rowOff>
    </xdr:from>
    <xdr:to>
      <xdr:col>13</xdr:col>
      <xdr:colOff>391438</xdr:colOff>
      <xdr:row>11</xdr:row>
      <xdr:rowOff>78288</xdr:rowOff>
    </xdr:to>
    <xdr:graphicFrame macro="">
      <xdr:nvGraphicFramePr>
        <xdr:cNvPr id="6" name="Chart 5">
          <a:extLst>
            <a:ext uri="{FF2B5EF4-FFF2-40B4-BE49-F238E27FC236}">
              <a16:creationId xmlns:a16="http://schemas.microsoft.com/office/drawing/2014/main" id="{C8B81146-38D7-4489-8141-AAD3C28214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469727</xdr:colOff>
      <xdr:row>3</xdr:row>
      <xdr:rowOff>117431</xdr:rowOff>
    </xdr:from>
    <xdr:to>
      <xdr:col>15</xdr:col>
      <xdr:colOff>600207</xdr:colOff>
      <xdr:row>11</xdr:row>
      <xdr:rowOff>78288</xdr:rowOff>
    </xdr:to>
    <mc:AlternateContent xmlns:mc="http://schemas.openxmlformats.org/markup-compatibility/2006" xmlns:a14="http://schemas.microsoft.com/office/drawing/2010/main">
      <mc:Choice Requires="a14">
        <xdr:graphicFrame macro="">
          <xdr:nvGraphicFramePr>
            <xdr:cNvPr id="7" name="Month name">
              <a:extLst>
                <a:ext uri="{FF2B5EF4-FFF2-40B4-BE49-F238E27FC236}">
                  <a16:creationId xmlns:a16="http://schemas.microsoft.com/office/drawing/2014/main" id="{71A4133F-8A96-4B66-8573-1E6AEE14D557}"/>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8442022" y="704589"/>
              <a:ext cx="1356986" cy="15266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197922</xdr:colOff>
      <xdr:row>0</xdr:row>
      <xdr:rowOff>0</xdr:rowOff>
    </xdr:from>
    <xdr:to>
      <xdr:col>16</xdr:col>
      <xdr:colOff>60002</xdr:colOff>
      <xdr:row>3</xdr:row>
      <xdr:rowOff>26242</xdr:rowOff>
    </xdr:to>
    <xdr:sp macro="" textlink="">
      <xdr:nvSpPr>
        <xdr:cNvPr id="2" name="Rectangle: Rounded Corners 1">
          <a:extLst>
            <a:ext uri="{FF2B5EF4-FFF2-40B4-BE49-F238E27FC236}">
              <a16:creationId xmlns:a16="http://schemas.microsoft.com/office/drawing/2014/main" id="{592E94D0-D80B-41EC-B4F0-51FCE198A9FC}"/>
            </a:ext>
          </a:extLst>
        </xdr:cNvPr>
        <xdr:cNvSpPr/>
      </xdr:nvSpPr>
      <xdr:spPr>
        <a:xfrm>
          <a:off x="197922" y="0"/>
          <a:ext cx="9560262" cy="582898"/>
        </a:xfrm>
        <a:prstGeom prst="roundRect">
          <a:avLst/>
        </a:prstGeom>
        <a:solidFill>
          <a:schemeClr val="tx1">
            <a:lumMod val="50000"/>
            <a:lumOff val="50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kern="1200"/>
            <a:t>R</a:t>
          </a:r>
          <a:r>
            <a:rPr lang="en-IN" sz="2800" b="1" kern="1200" baseline="0"/>
            <a:t> T N  TRIP ANALYSIS</a:t>
          </a:r>
          <a:endParaRPr lang="en-IN" sz="2800" b="1" kern="1200"/>
        </a:p>
      </xdr:txBody>
    </xdr:sp>
    <xdr:clientData/>
  </xdr:twoCellAnchor>
  <xdr:twoCellAnchor>
    <xdr:from>
      <xdr:col>0</xdr:col>
      <xdr:colOff>197921</xdr:colOff>
      <xdr:row>3</xdr:row>
      <xdr:rowOff>111330</xdr:rowOff>
    </xdr:from>
    <xdr:to>
      <xdr:col>9</xdr:col>
      <xdr:colOff>556655</xdr:colOff>
      <xdr:row>27</xdr:row>
      <xdr:rowOff>86591</xdr:rowOff>
    </xdr:to>
    <xdr:graphicFrame macro="">
      <xdr:nvGraphicFramePr>
        <xdr:cNvPr id="3" name="Chart 2">
          <a:extLst>
            <a:ext uri="{FF2B5EF4-FFF2-40B4-BE49-F238E27FC236}">
              <a16:creationId xmlns:a16="http://schemas.microsoft.com/office/drawing/2014/main" id="{012687B0-A8C6-4ACD-95D6-DA4C49B55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24740</xdr:colOff>
      <xdr:row>12</xdr:row>
      <xdr:rowOff>111332</xdr:rowOff>
    </xdr:from>
    <xdr:to>
      <xdr:col>16</xdr:col>
      <xdr:colOff>136071</xdr:colOff>
      <xdr:row>27</xdr:row>
      <xdr:rowOff>71252</xdr:rowOff>
    </xdr:to>
    <xdr:graphicFrame macro="">
      <xdr:nvGraphicFramePr>
        <xdr:cNvPr id="4" name="Chart 3">
          <a:extLst>
            <a:ext uri="{FF2B5EF4-FFF2-40B4-BE49-F238E27FC236}">
              <a16:creationId xmlns:a16="http://schemas.microsoft.com/office/drawing/2014/main" id="{FBC8076B-29FB-4F67-81CC-0182B12A8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74221</xdr:colOff>
      <xdr:row>3</xdr:row>
      <xdr:rowOff>136072</xdr:rowOff>
    </xdr:from>
    <xdr:to>
      <xdr:col>13</xdr:col>
      <xdr:colOff>84612</xdr:colOff>
      <xdr:row>12</xdr:row>
      <xdr:rowOff>37730</xdr:rowOff>
    </xdr:to>
    <mc:AlternateContent xmlns:mc="http://schemas.openxmlformats.org/markup-compatibility/2006" xmlns:a14="http://schemas.microsoft.com/office/drawing/2010/main">
      <mc:Choice Requires="a14">
        <xdr:graphicFrame macro="">
          <xdr:nvGraphicFramePr>
            <xdr:cNvPr id="5" name="month name 1">
              <a:extLst>
                <a:ext uri="{FF2B5EF4-FFF2-40B4-BE49-F238E27FC236}">
                  <a16:creationId xmlns:a16="http://schemas.microsoft.com/office/drawing/2014/main" id="{9E7F4000-5EC9-427F-A77A-A4A4FA7E6C1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6135585" y="692728"/>
              <a:ext cx="1828800" cy="1571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123700</xdr:colOff>
      <xdr:row>3</xdr:row>
      <xdr:rowOff>160811</xdr:rowOff>
    </xdr:from>
    <xdr:to>
      <xdr:col>16</xdr:col>
      <xdr:colOff>74220</xdr:colOff>
      <xdr:row>11</xdr:row>
      <xdr:rowOff>185551</xdr:rowOff>
    </xdr:to>
    <xdr:sp macro="" textlink="">
      <xdr:nvSpPr>
        <xdr:cNvPr id="6" name="Rectangle: Rounded Corners 5">
          <a:extLst>
            <a:ext uri="{FF2B5EF4-FFF2-40B4-BE49-F238E27FC236}">
              <a16:creationId xmlns:a16="http://schemas.microsoft.com/office/drawing/2014/main" id="{35EEE9B3-7A7F-4697-9B42-D7E54BF7DE60}"/>
            </a:ext>
          </a:extLst>
        </xdr:cNvPr>
        <xdr:cNvSpPr/>
      </xdr:nvSpPr>
      <xdr:spPr>
        <a:xfrm>
          <a:off x="8003473" y="717467"/>
          <a:ext cx="1768929" cy="1509155"/>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kern="1200"/>
            <a:t>TOTAL</a:t>
          </a:r>
          <a:r>
            <a:rPr lang="en-IN" sz="1600" b="1" kern="1200" baseline="0"/>
            <a:t> TRIPS</a:t>
          </a:r>
          <a:endParaRPr lang="en-IN" sz="1600" b="1" kern="1200"/>
        </a:p>
      </xdr:txBody>
    </xdr:sp>
    <xdr:clientData/>
  </xdr:twoCellAnchor>
  <xdr:twoCellAnchor>
    <xdr:from>
      <xdr:col>14</xdr:col>
      <xdr:colOff>33769</xdr:colOff>
      <xdr:row>6</xdr:row>
      <xdr:rowOff>67912</xdr:rowOff>
    </xdr:from>
    <xdr:to>
      <xdr:col>15</xdr:col>
      <xdr:colOff>196274</xdr:colOff>
      <xdr:row>10</xdr:row>
      <xdr:rowOff>141881</xdr:rowOff>
    </xdr:to>
    <xdr:sp macro="" textlink="Sheet3!E16">
      <xdr:nvSpPr>
        <xdr:cNvPr id="7" name="TextBox 6">
          <a:extLst>
            <a:ext uri="{FF2B5EF4-FFF2-40B4-BE49-F238E27FC236}">
              <a16:creationId xmlns:a16="http://schemas.microsoft.com/office/drawing/2014/main" id="{B27FE304-677E-4ADB-B7F0-EE1A5FEA5412}"/>
            </a:ext>
          </a:extLst>
        </xdr:cNvPr>
        <xdr:cNvSpPr txBox="1"/>
      </xdr:nvSpPr>
      <xdr:spPr>
        <a:xfrm>
          <a:off x="8519678" y="1181224"/>
          <a:ext cx="768641" cy="816176"/>
        </a:xfrm>
        <a:prstGeom prst="rect">
          <a:avLst/>
        </a:prstGeom>
        <a:solidFill>
          <a:schemeClr val="tx1">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DBE5EF3-D700-4F9B-AF5B-45DE0D238C30}" type="TxLink">
            <a:rPr lang="en-US" sz="4400" b="1" i="0" u="none" strike="noStrike" kern="1200">
              <a:solidFill>
                <a:schemeClr val="accent6">
                  <a:lumMod val="20000"/>
                  <a:lumOff val="80000"/>
                </a:schemeClr>
              </a:solidFill>
              <a:latin typeface="Calibri"/>
              <a:ea typeface="Calibri"/>
              <a:cs typeface="Calibri"/>
            </a:rPr>
            <a:pPr/>
            <a:t>41</a:t>
          </a:fld>
          <a:endParaRPr lang="en-IN" sz="8800" b="1" kern="1200">
            <a:solidFill>
              <a:schemeClr val="accent6">
                <a:lumMod val="20000"/>
                <a:lumOff val="8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ammed irfan" refreshedDate="45649.892309722221" createdVersion="8" refreshedVersion="8" minRefreshableVersion="3" recordCount="294" xr:uid="{D3141D2B-FCEE-42C1-BC41-EA8CC17F27C0}">
  <cacheSource type="worksheet">
    <worksheetSource name="RTN_AND_ALIBAG_MARKET_SALES"/>
  </cacheSource>
  <cacheFields count="10">
    <cacheField name="SI no" numFmtId="0">
      <sharedItems containsSemiMixedTypes="0" containsString="0" containsNumber="1" containsInteger="1" minValue="1" maxValue="294"/>
    </cacheField>
    <cacheField name="DATE" numFmtId="14">
      <sharedItems containsSemiMixedTypes="0" containsNonDate="0" containsDate="1" containsString="0" minDate="2024-09-11T00:00:00" maxDate="2024-12-19T00:00:00"/>
    </cacheField>
    <cacheField name="PARTY NAME" numFmtId="0">
      <sharedItems/>
    </cacheField>
    <cacheField name="NICK NAME" numFmtId="0">
      <sharedItems count="66">
        <s v="ZAMZAM"/>
        <s v="CHS"/>
        <s v="AS"/>
        <s v="AFK"/>
        <s v="EBF"/>
        <s v="PMM"/>
        <s v="MR"/>
        <s v="TWK"/>
        <s v="ZULFI"/>
        <s v="HMS"/>
        <s v="SHA"/>
        <s v="BISMI"/>
        <s v="AKT"/>
        <s v="FRIENDS"/>
        <s v="BH"/>
        <s v="YSN"/>
        <s v="EPN"/>
        <s v="LH"/>
        <s v="KMG"/>
        <s v="MKS"/>
        <s v="ASF"/>
        <s v="PMJ"/>
        <s v="PAV"/>
        <s v="OMS"/>
        <s v="MS"/>
        <s v="AMS"/>
        <s v="TSF"/>
        <s v="NFT"/>
        <s v="RSF"/>
        <s v="LF"/>
        <s v="NB-BISMI"/>
        <s v="K-PALLI"/>
        <s v="JNS"/>
        <s v="KMK"/>
        <s v="TTS"/>
        <s v="PPC"/>
        <s v="BFC"/>
        <s v="FRS"/>
        <s v="K.M.K"/>
        <s v="MKM"/>
        <s v="KNH"/>
        <s v="CM"/>
        <s v="SHAFI"/>
        <s v="ANNAI"/>
        <s v="K PALLI"/>
        <s v="NB"/>
        <s v="K PALL"/>
        <s v="MRM"/>
        <s v="KNSF"/>
        <s v="SULFI"/>
        <s v="STAR"/>
        <s v="KSB"/>
        <s v="RS"/>
        <s v=" BH"/>
        <s v="KKV"/>
        <s v="Y-PIN"/>
        <s v="7 STAR SEA FOOD"/>
        <s v="GFR"/>
        <s v="LF "/>
        <s v="SEA DIAMOND"/>
        <s v="KPC SONS"/>
        <s v="KK"/>
        <s v="ABV"/>
        <s v="M RASHEED"/>
        <s v="SSISH"/>
        <s v="SPT"/>
      </sharedItems>
    </cacheField>
    <cacheField name="BOX" numFmtId="0">
      <sharedItems containsSemiMixedTypes="0" containsString="0" containsNumber="1" containsInteger="1" minValue="1" maxValue="240"/>
    </cacheField>
    <cacheField name="ADVANCE" numFmtId="0">
      <sharedItems containsSemiMixedTypes="0" containsString="0" containsNumber="1" containsInteger="1" minValue="0" maxValue="5000"/>
    </cacheField>
    <cacheField name="ADV NO" numFmtId="0">
      <sharedItems containsSemiMixedTypes="0" containsString="0" containsNumber="1" containsInteger="1" minValue="0" maxValue="36"/>
    </cacheField>
    <cacheField name="AMOUNT" numFmtId="0">
      <sharedItems containsSemiMixedTypes="0" containsString="0" containsNumber="1" containsInteger="1" minValue="1140" maxValue="355300"/>
    </cacheField>
    <cacheField name="Month name" numFmtId="0">
      <sharedItems count="4">
        <s v="Sep"/>
        <s v="Oct"/>
        <s v="Nov"/>
        <s v="Dec"/>
      </sharedItems>
    </cacheField>
    <cacheField name="nick name2" numFmtId="0">
      <sharedItems count="64">
        <s v="ZAMZAM"/>
        <s v="CHS"/>
        <s v="AS"/>
        <s v="AFK"/>
        <s v="EBF"/>
        <s v="PMM"/>
        <s v="MR"/>
        <s v="TWK"/>
        <s v="ZULFI"/>
        <s v="HMS"/>
        <s v="SHA"/>
        <s v="BISMI"/>
        <s v="AKT"/>
        <s v="FRIENDS"/>
        <s v="BH"/>
        <s v="YSN"/>
        <s v="EPN"/>
        <s v="LH"/>
        <s v="KMG"/>
        <s v="MKS"/>
        <s v="ASF"/>
        <s v="PMJ"/>
        <s v="PAV"/>
        <s v="OMS"/>
        <s v="MS"/>
        <s v="AMS"/>
        <s v="TSF"/>
        <s v="NFT"/>
        <s v="RSF"/>
        <s v="LF"/>
        <s v="NB-BISMI"/>
        <s v="K-PALLI"/>
        <s v="JNS"/>
        <s v="KMK"/>
        <s v="TTS"/>
        <s v="PPC"/>
        <s v="BFC"/>
        <s v="FRS"/>
        <s v="K.M.K"/>
        <s v="MKM"/>
        <s v="KNH"/>
        <s v="CM"/>
        <s v="SHAFI"/>
        <s v="ANNAI"/>
        <s v="K PALLI"/>
        <s v="NB"/>
        <s v="K PALL"/>
        <s v="MRM"/>
        <s v="KNSF"/>
        <s v="SULFI"/>
        <s v="STAR"/>
        <s v="KSB"/>
        <s v="RS"/>
        <s v="KKV"/>
        <s v="Y-PIN"/>
        <s v="7 STAR SEA FOOD"/>
        <s v="GFR"/>
        <s v="SEA DIAMOND"/>
        <s v="KPC SONS"/>
        <s v="KK"/>
        <s v="ABV"/>
        <s v="M RASHEED"/>
        <s v="SSISH"/>
        <s v="SPT"/>
      </sharedItems>
    </cacheField>
  </cacheFields>
  <extLst>
    <ext xmlns:x14="http://schemas.microsoft.com/office/spreadsheetml/2009/9/main" uri="{725AE2AE-9491-48be-B2B4-4EB974FC3084}">
      <x14:pivotCacheDefinition pivotCacheId="3982119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hammed irfan" refreshedDate="45649.919541898147" createdVersion="8" refreshedVersion="8" minRefreshableVersion="3" recordCount="41" xr:uid="{D7065E41-9052-42A1-BF96-BC5A0BE2BD20}">
  <cacheSource type="worksheet">
    <worksheetSource name="TRIPS"/>
  </cacheSource>
  <cacheFields count="12">
    <cacheField name="SI NO" numFmtId="0">
      <sharedItems containsSemiMixedTypes="0" containsString="0" containsNumber="1" containsInteger="1" minValue="1" maxValue="41"/>
    </cacheField>
    <cacheField name="TP NO " numFmtId="0">
      <sharedItems containsSemiMixedTypes="0" containsString="0" containsNumber="1" containsInteger="1" minValue="101" maxValue="240"/>
    </cacheField>
    <cacheField name="LORRY NO" numFmtId="0">
      <sharedItems count="19">
        <s v="KA20-AB-5293"/>
        <s v="KA20-AC-0724"/>
        <s v="KA20-AB-6393"/>
        <s v="KA20 AA 1066"/>
        <s v="KA20-AB-5295"/>
        <s v="KA20-AC-1055"/>
        <s v="KA20-AC-0723"/>
        <s v="KA20-AB-8828"/>
        <s v="KA20 AB 5295"/>
        <s v="KA19 AC 5382"/>
        <s v="KA20 AC 1055"/>
        <s v="KA20 AB 6393"/>
        <s v="KA20 AC 0723"/>
        <s v="KA20 AB 5293"/>
        <s v="KA20 AB 7130"/>
        <s v="KA20 AC 6393"/>
        <s v="KA20 D 3384"/>
        <s v="KA20 D 5128"/>
        <s v="KA20-D-6299"/>
      </sharedItems>
    </cacheField>
    <cacheField name="TP DATE" numFmtId="14">
      <sharedItems containsSemiMixedTypes="0" containsNonDate="0" containsDate="1" containsString="0" minDate="2024-09-10T00:00:00" maxDate="2024-12-16T00:00:00"/>
    </cacheField>
    <cacheField name="TRIP NO" numFmtId="0">
      <sharedItems containsSemiMixedTypes="0" containsString="0" containsNumber="1" containsInteger="1" minValue="1" maxValue="240"/>
    </cacheField>
    <cacheField name="TOTAL BOX" numFmtId="0">
      <sharedItems containsSemiMixedTypes="0" containsString="0" containsNumber="1" containsInteger="1" minValue="171" maxValue="240"/>
    </cacheField>
    <cacheField name="TOTAL BOX MATCHING" numFmtId="0">
      <sharedItems/>
    </cacheField>
    <cacheField name="PURCHASE" numFmtId="0">
      <sharedItems containsSemiMixedTypes="0" containsString="0" containsNumber="1" containsInteger="1" minValue="138500" maxValue="724450"/>
    </cacheField>
    <cacheField name="RENT" numFmtId="0">
      <sharedItems containsSemiMixedTypes="0" containsString="0" containsNumber="1" containsInteger="1" minValue="80472" maxValue="148722"/>
    </cacheField>
    <cacheField name="LINE" numFmtId="0">
      <sharedItems containsSemiMixedTypes="0" containsString="0" containsNumber="1" containsInteger="1" minValue="4000" maxValue="4000"/>
    </cacheField>
    <cacheField name="Vehicle last no" numFmtId="0">
      <sharedItems count="13">
        <s v="5293"/>
        <s v="0724"/>
        <s v="6393"/>
        <s v="1066"/>
        <s v="5295"/>
        <s v="1055"/>
        <s v="0723"/>
        <s v="8828"/>
        <s v="5382"/>
        <s v="7130"/>
        <s v="3384"/>
        <s v="5128"/>
        <s v="6299"/>
      </sharedItems>
    </cacheField>
    <cacheField name="month name" numFmtId="0">
      <sharedItems count="4">
        <s v="Sep"/>
        <s v="Oct"/>
        <s v="Nov"/>
        <s v="Dec"/>
      </sharedItems>
    </cacheField>
  </cacheFields>
  <extLst>
    <ext xmlns:x14="http://schemas.microsoft.com/office/spreadsheetml/2009/9/main" uri="{725AE2AE-9491-48be-B2B4-4EB974FC3084}">
      <x14:pivotCacheDefinition pivotCacheId="14139510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4">
  <r>
    <n v="1"/>
    <d v="2024-09-11T00:00:00"/>
    <s v="AMBALABUJA  ZAMZAM"/>
    <x v="0"/>
    <n v="16"/>
    <n v="0"/>
    <n v="0"/>
    <n v="45100"/>
    <x v="0"/>
    <x v="0"/>
  </r>
  <r>
    <n v="2"/>
    <d v="2024-09-11T00:00:00"/>
    <s v="KARIVATTA   CHS"/>
    <x v="1"/>
    <n v="40"/>
    <n v="0"/>
    <n v="0"/>
    <n v="2700"/>
    <x v="0"/>
    <x v="1"/>
  </r>
  <r>
    <n v="3"/>
    <d v="2024-09-11T00:00:00"/>
    <s v="ADOOR AS"/>
    <x v="2"/>
    <n v="4"/>
    <n v="0"/>
    <n v="0"/>
    <n v="6800"/>
    <x v="0"/>
    <x v="2"/>
  </r>
  <r>
    <n v="4"/>
    <d v="2024-09-12T00:00:00"/>
    <s v="KAYIKOLAM     AFK"/>
    <x v="3"/>
    <n v="45"/>
    <n v="0"/>
    <n v="0"/>
    <n v="108600"/>
    <x v="0"/>
    <x v="3"/>
  </r>
  <r>
    <n v="5"/>
    <d v="2024-09-12T00:00:00"/>
    <s v="ADOOR AS"/>
    <x v="2"/>
    <n v="24"/>
    <n v="0"/>
    <n v="0"/>
    <n v="54400"/>
    <x v="0"/>
    <x v="2"/>
  </r>
  <r>
    <n v="6"/>
    <d v="2024-09-12T00:00:00"/>
    <s v="YETMANUR  EBF"/>
    <x v="4"/>
    <n v="15"/>
    <n v="0"/>
    <n v="0"/>
    <n v="29300"/>
    <x v="0"/>
    <x v="4"/>
  </r>
  <r>
    <n v="7"/>
    <d v="2024-09-12T00:00:00"/>
    <s v="PAIPAD PMM "/>
    <x v="5"/>
    <n v="15"/>
    <n v="0"/>
    <n v="0"/>
    <n v="33900"/>
    <x v="0"/>
    <x v="5"/>
  </r>
  <r>
    <n v="8"/>
    <d v="2024-09-12T00:00:00"/>
    <s v="CHANGANACHERY MR"/>
    <x v="6"/>
    <n v="15"/>
    <n v="0"/>
    <n v="0"/>
    <n v="31500"/>
    <x v="0"/>
    <x v="6"/>
  </r>
  <r>
    <n v="9"/>
    <d v="2024-09-12T00:00:00"/>
    <s v="CHAKKAVALLI THAWAKKAL"/>
    <x v="7"/>
    <n v="4"/>
    <n v="0"/>
    <n v="0"/>
    <n v="7100"/>
    <x v="0"/>
    <x v="7"/>
  </r>
  <r>
    <n v="10"/>
    <d v="2024-09-12T00:00:00"/>
    <s v="KUMBAJA ZULFI"/>
    <x v="8"/>
    <n v="12"/>
    <n v="0"/>
    <n v="0"/>
    <n v="21500"/>
    <x v="0"/>
    <x v="8"/>
  </r>
  <r>
    <n v="11"/>
    <d v="2024-09-12T00:00:00"/>
    <s v="K PALLI  HMS"/>
    <x v="9"/>
    <n v="20"/>
    <n v="0"/>
    <n v="0"/>
    <n v="2700"/>
    <x v="0"/>
    <x v="9"/>
  </r>
  <r>
    <n v="12"/>
    <d v="2024-09-13T00:00:00"/>
    <s v="NADUMANGAD SHA "/>
    <x v="10"/>
    <n v="20"/>
    <n v="3000"/>
    <n v="1"/>
    <n v="34900"/>
    <x v="0"/>
    <x v="10"/>
  </r>
  <r>
    <n v="13"/>
    <d v="2024-09-13T00:00:00"/>
    <s v="ALANGOD  BISMI"/>
    <x v="11"/>
    <n v="15"/>
    <n v="0"/>
    <n v="0"/>
    <n v="21700"/>
    <x v="0"/>
    <x v="11"/>
  </r>
  <r>
    <n v="14"/>
    <d v="2024-09-13T00:00:00"/>
    <s v="CHERTHALA AKT"/>
    <x v="12"/>
    <n v="23"/>
    <n v="0"/>
    <n v="0"/>
    <n v="6600"/>
    <x v="0"/>
    <x v="12"/>
  </r>
  <r>
    <n v="15"/>
    <d v="2024-09-13T00:00:00"/>
    <s v="KALAVOOR  FREIENDS"/>
    <x v="13"/>
    <n v="15"/>
    <n v="0"/>
    <n v="0"/>
    <n v="39600"/>
    <x v="0"/>
    <x v="13"/>
  </r>
  <r>
    <n v="16"/>
    <d v="2024-09-13T00:00:00"/>
    <s v="AMBALABUJA  ZAMZAM"/>
    <x v="0"/>
    <n v="15"/>
    <n v="0"/>
    <n v="0"/>
    <n v="36300"/>
    <x v="0"/>
    <x v="0"/>
  </r>
  <r>
    <n v="17"/>
    <d v="2024-09-13T00:00:00"/>
    <s v="KAIKOLAM AFK"/>
    <x v="3"/>
    <n v="25"/>
    <n v="0"/>
    <n v="0"/>
    <n v="61300"/>
    <x v="0"/>
    <x v="3"/>
  </r>
  <r>
    <n v="18"/>
    <d v="2024-09-13T00:00:00"/>
    <s v="K PALLI BH"/>
    <x v="14"/>
    <n v="14"/>
    <n v="0"/>
    <n v="0"/>
    <n v="29600"/>
    <x v="0"/>
    <x v="14"/>
  </r>
  <r>
    <n v="19"/>
    <d v="2024-09-14T00:00:00"/>
    <s v="YANGARAMOD YSN"/>
    <x v="15"/>
    <n v="15"/>
    <n v="0"/>
    <n v="0"/>
    <n v="27000"/>
    <x v="0"/>
    <x v="15"/>
  </r>
  <r>
    <n v="20"/>
    <d v="2024-09-14T00:00:00"/>
    <s v="KAIKOLAM AFK"/>
    <x v="3"/>
    <n v="50"/>
    <n v="0"/>
    <n v="0"/>
    <n v="131000"/>
    <x v="0"/>
    <x v="3"/>
  </r>
  <r>
    <n v="21"/>
    <d v="2024-09-14T00:00:00"/>
    <s v="K PALLI BH"/>
    <x v="14"/>
    <n v="7"/>
    <n v="0"/>
    <n v="0"/>
    <n v="13400"/>
    <x v="0"/>
    <x v="14"/>
  </r>
  <r>
    <n v="22"/>
    <d v="2024-09-14T00:00:00"/>
    <s v="K PALLI EPN"/>
    <x v="16"/>
    <n v="2"/>
    <n v="0"/>
    <n v="0"/>
    <n v="2000"/>
    <x v="0"/>
    <x v="16"/>
  </r>
  <r>
    <n v="23"/>
    <d v="2024-09-14T00:00:00"/>
    <s v="K PALLI LH"/>
    <x v="17"/>
    <n v="29"/>
    <n v="0"/>
    <n v="0"/>
    <n v="27000"/>
    <x v="0"/>
    <x v="17"/>
  </r>
  <r>
    <n v="24"/>
    <d v="2024-09-17T00:00:00"/>
    <s v="KANHANGAD "/>
    <x v="1"/>
    <n v="20"/>
    <n v="0"/>
    <n v="0"/>
    <n v="1140"/>
    <x v="0"/>
    <x v="1"/>
  </r>
  <r>
    <n v="25"/>
    <d v="2024-09-17T00:00:00"/>
    <s v="THALLIPURAM"/>
    <x v="18"/>
    <n v="10"/>
    <n v="2000"/>
    <n v="5"/>
    <n v="21970"/>
    <x v="0"/>
    <x v="18"/>
  </r>
  <r>
    <n v="26"/>
    <d v="2024-09-17T00:00:00"/>
    <s v="NILESHWARA"/>
    <x v="19"/>
    <n v="12"/>
    <n v="0"/>
    <n v="0"/>
    <n v="23100"/>
    <x v="0"/>
    <x v="19"/>
  </r>
  <r>
    <n v="27"/>
    <d v="2024-09-18T00:00:00"/>
    <s v="KASARAGOD"/>
    <x v="20"/>
    <n v="10"/>
    <n v="0"/>
    <n v="0"/>
    <n v="17000"/>
    <x v="0"/>
    <x v="20"/>
  </r>
  <r>
    <n v="28"/>
    <d v="2024-09-18T00:00:00"/>
    <s v="ALUVA"/>
    <x v="21"/>
    <n v="15"/>
    <n v="0"/>
    <n v="0"/>
    <n v="2200"/>
    <x v="0"/>
    <x v="21"/>
  </r>
  <r>
    <n v="29"/>
    <d v="2024-09-18T00:00:00"/>
    <s v="CHERTHALA"/>
    <x v="12"/>
    <n v="5"/>
    <n v="0"/>
    <n v="0"/>
    <n v="10800"/>
    <x v="0"/>
    <x v="12"/>
  </r>
  <r>
    <n v="30"/>
    <d v="2024-09-18T00:00:00"/>
    <s v="CHAMBAKERE"/>
    <x v="22"/>
    <n v="10"/>
    <n v="0"/>
    <n v="0"/>
    <n v="4950"/>
    <x v="0"/>
    <x v="22"/>
  </r>
  <r>
    <n v="31"/>
    <d v="2024-09-18T00:00:00"/>
    <s v="KUNNAKOLAM"/>
    <x v="23"/>
    <n v="15"/>
    <n v="0"/>
    <n v="0"/>
    <n v="27650"/>
    <x v="0"/>
    <x v="23"/>
  </r>
  <r>
    <n v="32"/>
    <d v="2024-09-18T00:00:00"/>
    <s v="THALLIPURAM"/>
    <x v="18"/>
    <n v="10"/>
    <n v="2000"/>
    <n v="6"/>
    <n v="15600"/>
    <x v="0"/>
    <x v="18"/>
  </r>
  <r>
    <n v="33"/>
    <d v="2024-09-18T00:00:00"/>
    <s v="NILESHWARA"/>
    <x v="19"/>
    <n v="10"/>
    <n v="0"/>
    <n v="0"/>
    <n v="17500"/>
    <x v="0"/>
    <x v="19"/>
  </r>
  <r>
    <n v="34"/>
    <d v="2024-09-18T00:00:00"/>
    <s v="MALPE"/>
    <x v="24"/>
    <n v="30"/>
    <n v="0"/>
    <n v="0"/>
    <n v="3300"/>
    <x v="0"/>
    <x v="24"/>
  </r>
  <r>
    <n v="35"/>
    <d v="2024-09-18T00:00:00"/>
    <s v="KANNUR"/>
    <x v="25"/>
    <n v="10"/>
    <n v="0"/>
    <n v="0"/>
    <n v="17600"/>
    <x v="0"/>
    <x v="25"/>
  </r>
  <r>
    <n v="36"/>
    <d v="2024-09-18T00:00:00"/>
    <s v="ARYANAD"/>
    <x v="26"/>
    <n v="44"/>
    <n v="0"/>
    <n v="0"/>
    <n v="96200"/>
    <x v="0"/>
    <x v="26"/>
  </r>
  <r>
    <n v="37"/>
    <d v="2024-09-18T00:00:00"/>
    <s v="ADOOR"/>
    <x v="2"/>
    <n v="20"/>
    <n v="0"/>
    <n v="0"/>
    <n v="35500"/>
    <x v="0"/>
    <x v="2"/>
  </r>
  <r>
    <n v="38"/>
    <d v="2024-09-18T00:00:00"/>
    <s v="KARUVATTA"/>
    <x v="1"/>
    <n v="1"/>
    <n v="0"/>
    <n v="0"/>
    <n v="2000"/>
    <x v="0"/>
    <x v="1"/>
  </r>
  <r>
    <n v="39"/>
    <d v="2024-09-18T00:00:00"/>
    <s v="YETTUMANUR"/>
    <x v="4"/>
    <n v="2"/>
    <n v="0"/>
    <n v="0"/>
    <n v="3500"/>
    <x v="0"/>
    <x v="4"/>
  </r>
  <r>
    <n v="40"/>
    <d v="2024-09-18T00:00:00"/>
    <s v="THODUPUZHA"/>
    <x v="27"/>
    <n v="52"/>
    <n v="0"/>
    <n v="0"/>
    <n v="15820"/>
    <x v="0"/>
    <x v="27"/>
  </r>
  <r>
    <n v="41"/>
    <d v="2024-09-19T00:00:00"/>
    <s v="PANCHAMOODU"/>
    <x v="28"/>
    <n v="41"/>
    <n v="0"/>
    <n v="0"/>
    <n v="85400"/>
    <x v="0"/>
    <x v="28"/>
  </r>
  <r>
    <n v="42"/>
    <d v="2024-09-19T00:00:00"/>
    <s v="NIYYATINKARA"/>
    <x v="11"/>
    <n v="40"/>
    <n v="0"/>
    <n v="0"/>
    <n v="84800"/>
    <x v="0"/>
    <x v="11"/>
  </r>
  <r>
    <n v="43"/>
    <d v="2024-09-20T00:00:00"/>
    <s v="KAYAKULAM"/>
    <x v="3"/>
    <n v="47"/>
    <n v="0"/>
    <n v="0"/>
    <n v="73100"/>
    <x v="0"/>
    <x v="3"/>
  </r>
  <r>
    <n v="44"/>
    <d v="2024-09-20T00:00:00"/>
    <s v="PANACHAMOODU "/>
    <x v="28"/>
    <n v="96"/>
    <n v="0"/>
    <n v="0"/>
    <n v="174400"/>
    <x v="0"/>
    <x v="28"/>
  </r>
  <r>
    <n v="45"/>
    <d v="2024-09-20T00:00:00"/>
    <s v="VENJARAMOODU"/>
    <x v="15"/>
    <n v="30"/>
    <n v="0"/>
    <n v="0"/>
    <n v="48000"/>
    <x v="0"/>
    <x v="15"/>
  </r>
  <r>
    <n v="46"/>
    <d v="2024-09-20T00:00:00"/>
    <s v="NEDUMANGAD"/>
    <x v="10"/>
    <n v="35"/>
    <n v="3000"/>
    <n v="3"/>
    <n v="56500"/>
    <x v="0"/>
    <x v="10"/>
  </r>
  <r>
    <n v="47"/>
    <d v="2024-09-20T00:00:00"/>
    <s v="ARYANAD"/>
    <x v="26"/>
    <n v="16"/>
    <n v="0"/>
    <n v="0"/>
    <n v="15800"/>
    <x v="0"/>
    <x v="26"/>
  </r>
  <r>
    <n v="48"/>
    <d v="2024-09-20T00:00:00"/>
    <s v="PALLAM"/>
    <x v="29"/>
    <n v="19"/>
    <n v="0"/>
    <n v="0"/>
    <n v="25800"/>
    <x v="0"/>
    <x v="29"/>
  </r>
  <r>
    <n v="49"/>
    <d v="2024-09-20T00:00:00"/>
    <s v="NEYYATTINKARA"/>
    <x v="30"/>
    <n v="2"/>
    <n v="0"/>
    <n v="0"/>
    <n v="4000"/>
    <x v="0"/>
    <x v="30"/>
  </r>
  <r>
    <n v="50"/>
    <d v="2024-09-21T00:00:00"/>
    <s v="ADOOR"/>
    <x v="2"/>
    <n v="12"/>
    <n v="0"/>
    <n v="0"/>
    <n v="23550"/>
    <x v="0"/>
    <x v="2"/>
  </r>
  <r>
    <n v="51"/>
    <d v="2024-09-21T00:00:00"/>
    <s v="H.M.S"/>
    <x v="31"/>
    <n v="40"/>
    <n v="0"/>
    <n v="0"/>
    <n v="74650"/>
    <x v="0"/>
    <x v="31"/>
  </r>
  <r>
    <n v="52"/>
    <d v="2024-09-22T00:00:00"/>
    <s v="KOTTARAKKARA"/>
    <x v="32"/>
    <n v="6"/>
    <n v="0"/>
    <n v="0"/>
    <n v="9600"/>
    <x v="0"/>
    <x v="32"/>
  </r>
  <r>
    <n v="53"/>
    <d v="2024-09-22T00:00:00"/>
    <s v="ARYANAD"/>
    <x v="26"/>
    <n v="18"/>
    <n v="0"/>
    <n v="0"/>
    <n v="30100"/>
    <x v="0"/>
    <x v="26"/>
  </r>
  <r>
    <n v="54"/>
    <d v="2024-09-23T00:00:00"/>
    <s v="BH AND CO"/>
    <x v="14"/>
    <n v="2"/>
    <n v="0"/>
    <n v="0"/>
    <n v="4900"/>
    <x v="0"/>
    <x v="14"/>
  </r>
  <r>
    <n v="55"/>
    <d v="2024-09-23T00:00:00"/>
    <s v="NEDUMANGAD"/>
    <x v="10"/>
    <n v="30"/>
    <n v="3000"/>
    <n v="4"/>
    <n v="34250"/>
    <x v="0"/>
    <x v="10"/>
  </r>
  <r>
    <n v="56"/>
    <d v="2024-09-23T00:00:00"/>
    <s v="NEYYATTINKARA"/>
    <x v="11"/>
    <n v="100"/>
    <n v="0"/>
    <n v="0"/>
    <n v="194000"/>
    <x v="0"/>
    <x v="11"/>
  </r>
  <r>
    <n v="57"/>
    <d v="2024-09-23T00:00:00"/>
    <s v="CALICUT BEACH"/>
    <x v="33"/>
    <n v="15"/>
    <n v="0"/>
    <n v="0"/>
    <n v="24150"/>
    <x v="0"/>
    <x v="33"/>
  </r>
  <r>
    <n v="58"/>
    <d v="2024-09-23T00:00:00"/>
    <s v="THIROOR"/>
    <x v="34"/>
    <n v="63"/>
    <n v="0"/>
    <n v="0"/>
    <n v="7820"/>
    <x v="0"/>
    <x v="34"/>
  </r>
  <r>
    <n v="59"/>
    <d v="2024-09-24T00:00:00"/>
    <s v="M.A WAHAB"/>
    <x v="31"/>
    <n v="2"/>
    <n v="0"/>
    <n v="0"/>
    <n v="4050"/>
    <x v="0"/>
    <x v="31"/>
  </r>
  <r>
    <n v="60"/>
    <d v="2024-09-24T00:00:00"/>
    <s v="CALICUT"/>
    <x v="35"/>
    <n v="20"/>
    <n v="0"/>
    <n v="0"/>
    <n v="29130"/>
    <x v="0"/>
    <x v="35"/>
  </r>
  <r>
    <n v="61"/>
    <d v="2024-09-24T00:00:00"/>
    <s v="KUNNAKOLAM"/>
    <x v="23"/>
    <n v="48"/>
    <n v="0"/>
    <n v="0"/>
    <n v="65750"/>
    <x v="0"/>
    <x v="23"/>
  </r>
  <r>
    <n v="62"/>
    <d v="2024-09-24T00:00:00"/>
    <s v="VALANCHERY"/>
    <x v="36"/>
    <n v="20"/>
    <n v="0"/>
    <n v="0"/>
    <n v="27360"/>
    <x v="0"/>
    <x v="36"/>
  </r>
  <r>
    <n v="63"/>
    <d v="2024-09-24T00:00:00"/>
    <s v="PERAMBA"/>
    <x v="37"/>
    <n v="5"/>
    <n v="0"/>
    <n v="0"/>
    <n v="7830"/>
    <x v="0"/>
    <x v="37"/>
  </r>
  <r>
    <n v="64"/>
    <d v="2024-09-24T00:00:00"/>
    <s v="CALICUT"/>
    <x v="38"/>
    <n v="10"/>
    <n v="0"/>
    <n v="0"/>
    <n v="4050"/>
    <x v="0"/>
    <x v="38"/>
  </r>
  <r>
    <n v="65"/>
    <d v="2024-09-25T00:00:00"/>
    <s v="NILESHWARA"/>
    <x v="19"/>
    <n v="5"/>
    <n v="0"/>
    <n v="0"/>
    <n v="15400"/>
    <x v="0"/>
    <x v="19"/>
  </r>
  <r>
    <n v="66"/>
    <d v="2024-09-25T00:00:00"/>
    <s v="THALLIPURAM"/>
    <x v="18"/>
    <n v="15"/>
    <n v="2000"/>
    <n v="7"/>
    <n v="43950"/>
    <x v="0"/>
    <x v="18"/>
  </r>
  <r>
    <n v="67"/>
    <d v="2024-09-25T00:00:00"/>
    <s v="CALICUT BEACH"/>
    <x v="33"/>
    <n v="51"/>
    <n v="0"/>
    <n v="0"/>
    <n v="116250"/>
    <x v="0"/>
    <x v="33"/>
  </r>
  <r>
    <n v="68"/>
    <d v="2024-09-25T00:00:00"/>
    <s v="THALICHERY"/>
    <x v="39"/>
    <n v="54"/>
    <n v="0"/>
    <n v="0"/>
    <n v="146900"/>
    <x v="0"/>
    <x v="39"/>
  </r>
  <r>
    <n v="69"/>
    <d v="2024-09-25T00:00:00"/>
    <s v="ALANGOD"/>
    <x v="11"/>
    <n v="72"/>
    <n v="0"/>
    <n v="0"/>
    <n v="140600"/>
    <x v="0"/>
    <x v="11"/>
  </r>
  <r>
    <n v="70"/>
    <d v="2024-09-26T00:00:00"/>
    <s v="HARIPAD"/>
    <x v="40"/>
    <n v="13"/>
    <n v="0"/>
    <n v="0"/>
    <n v="2800"/>
    <x v="0"/>
    <x v="40"/>
  </r>
  <r>
    <n v="71"/>
    <d v="2024-09-26T00:00:00"/>
    <s v="NILESHWARA"/>
    <x v="19"/>
    <n v="10"/>
    <n v="0"/>
    <n v="0"/>
    <n v="20200"/>
    <x v="0"/>
    <x v="19"/>
  </r>
  <r>
    <n v="72"/>
    <d v="2024-09-26T00:00:00"/>
    <s v="TALIPARAMBA"/>
    <x v="18"/>
    <n v="15"/>
    <n v="2000"/>
    <n v="8"/>
    <n v="30600"/>
    <x v="0"/>
    <x v="18"/>
  </r>
  <r>
    <n v="73"/>
    <d v="2024-09-26T00:00:00"/>
    <s v="KUNDOTTY"/>
    <x v="41"/>
    <n v="33"/>
    <n v="2000"/>
    <n v="2"/>
    <n v="65200"/>
    <x v="0"/>
    <x v="41"/>
  </r>
  <r>
    <n v="74"/>
    <d v="2024-09-26T00:00:00"/>
    <s v="KAYAMKULAM"/>
    <x v="3"/>
    <n v="10"/>
    <n v="0"/>
    <n v="0"/>
    <n v="26100"/>
    <x v="0"/>
    <x v="3"/>
  </r>
  <r>
    <n v="75"/>
    <d v="2024-09-27T00:00:00"/>
    <s v="E PODUMON"/>
    <x v="16"/>
    <n v="6"/>
    <n v="0"/>
    <n v="0"/>
    <n v="2300"/>
    <x v="0"/>
    <x v="16"/>
  </r>
  <r>
    <n v="76"/>
    <d v="2024-09-27T00:00:00"/>
    <s v="ADOOR"/>
    <x v="2"/>
    <n v="15"/>
    <n v="0"/>
    <n v="0"/>
    <n v="40000"/>
    <x v="0"/>
    <x v="2"/>
  </r>
  <r>
    <n v="77"/>
    <d v="2024-09-27T00:00:00"/>
    <s v="KOTTARAKARA "/>
    <x v="32"/>
    <n v="15"/>
    <n v="0"/>
    <n v="0"/>
    <n v="40050"/>
    <x v="0"/>
    <x v="32"/>
  </r>
  <r>
    <n v="78"/>
    <d v="2024-09-27T00:00:00"/>
    <s v="PALLAM"/>
    <x v="29"/>
    <n v="19"/>
    <n v="0"/>
    <n v="0"/>
    <n v="45700"/>
    <x v="0"/>
    <x v="29"/>
  </r>
  <r>
    <n v="79"/>
    <d v="2024-09-27T00:00:00"/>
    <s v="CHERTHALA"/>
    <x v="12"/>
    <n v="10"/>
    <n v="0"/>
    <n v="0"/>
    <n v="25950"/>
    <x v="0"/>
    <x v="12"/>
  </r>
  <r>
    <n v="80"/>
    <d v="2024-09-27T00:00:00"/>
    <s v="KALAVOOR "/>
    <x v="13"/>
    <n v="5"/>
    <n v="0"/>
    <n v="0"/>
    <n v="14300"/>
    <x v="0"/>
    <x v="13"/>
  </r>
  <r>
    <n v="81"/>
    <d v="2024-09-27T00:00:00"/>
    <s v="YENJARAMOD"/>
    <x v="15"/>
    <n v="20"/>
    <n v="0"/>
    <n v="0"/>
    <n v="43100"/>
    <x v="0"/>
    <x v="15"/>
  </r>
  <r>
    <n v="82"/>
    <d v="2024-09-27T00:00:00"/>
    <s v="NEDUMANGAD"/>
    <x v="10"/>
    <n v="20"/>
    <n v="3000"/>
    <n v="5"/>
    <n v="40200"/>
    <x v="0"/>
    <x v="10"/>
  </r>
  <r>
    <n v="83"/>
    <d v="2024-09-28T00:00:00"/>
    <s v="NIYYATIGERA"/>
    <x v="42"/>
    <n v="7"/>
    <n v="0"/>
    <n v="0"/>
    <n v="17300"/>
    <x v="0"/>
    <x v="42"/>
  </r>
  <r>
    <n v="84"/>
    <d v="2024-09-28T00:00:00"/>
    <s v="PALLAM"/>
    <x v="29"/>
    <n v="8"/>
    <n v="0"/>
    <n v="0"/>
    <n v="18400"/>
    <x v="0"/>
    <x v="29"/>
  </r>
  <r>
    <n v="85"/>
    <d v="2024-09-28T00:00:00"/>
    <s v="MARTHANDA"/>
    <x v="43"/>
    <n v="41"/>
    <n v="0"/>
    <n v="0"/>
    <n v="100300"/>
    <x v="0"/>
    <x v="43"/>
  </r>
  <r>
    <n v="86"/>
    <d v="2024-10-01T00:00:00"/>
    <s v="PANCHAMOODU"/>
    <x v="28"/>
    <n v="53"/>
    <n v="0"/>
    <n v="0"/>
    <n v="83400"/>
    <x v="1"/>
    <x v="28"/>
  </r>
  <r>
    <n v="87"/>
    <d v="2024-10-01T00:00:00"/>
    <s v="NEDUMANGAD"/>
    <x v="10"/>
    <n v="20"/>
    <n v="3000"/>
    <n v="6"/>
    <n v="22600"/>
    <x v="1"/>
    <x v="10"/>
  </r>
  <r>
    <n v="88"/>
    <d v="2024-10-01T00:00:00"/>
    <s v="YENJARAMOD"/>
    <x v="15"/>
    <n v="32"/>
    <n v="0"/>
    <n v="0"/>
    <n v="41650"/>
    <x v="1"/>
    <x v="15"/>
  </r>
  <r>
    <n v="89"/>
    <d v="2024-10-01T00:00:00"/>
    <s v="ALANGOD"/>
    <x v="11"/>
    <n v="54"/>
    <n v="0"/>
    <n v="0"/>
    <n v="75000"/>
    <x v="1"/>
    <x v="11"/>
  </r>
  <r>
    <n v="90"/>
    <d v="2024-10-01T00:00:00"/>
    <s v="ARYANAD"/>
    <x v="26"/>
    <n v="39"/>
    <n v="0"/>
    <n v="0"/>
    <n v="40900"/>
    <x v="1"/>
    <x v="26"/>
  </r>
  <r>
    <n v="91"/>
    <d v="2024-10-02T00:00:00"/>
    <s v="CHERTHALA"/>
    <x v="12"/>
    <n v="20"/>
    <n v="0"/>
    <n v="0"/>
    <n v="35900"/>
    <x v="1"/>
    <x v="12"/>
  </r>
  <r>
    <n v="92"/>
    <d v="2024-10-02T00:00:00"/>
    <s v="THIRUR"/>
    <x v="34"/>
    <n v="25"/>
    <n v="0"/>
    <n v="0"/>
    <n v="22050"/>
    <x v="1"/>
    <x v="34"/>
  </r>
  <r>
    <n v="93"/>
    <d v="2024-10-02T00:00:00"/>
    <s v="KALAVOOR"/>
    <x v="13"/>
    <n v="15"/>
    <n v="0"/>
    <n v="0"/>
    <n v="24650"/>
    <x v="1"/>
    <x v="13"/>
  </r>
  <r>
    <n v="94"/>
    <d v="2024-10-02T00:00:00"/>
    <s v="ADOOR"/>
    <x v="2"/>
    <n v="50"/>
    <n v="0"/>
    <n v="0"/>
    <n v="98700"/>
    <x v="1"/>
    <x v="2"/>
  </r>
  <r>
    <n v="95"/>
    <d v="2024-10-02T00:00:00"/>
    <s v="ADOOR"/>
    <x v="2"/>
    <n v="4"/>
    <n v="0"/>
    <n v="0"/>
    <n v="7900"/>
    <x v="1"/>
    <x v="2"/>
  </r>
  <r>
    <n v="96"/>
    <d v="2024-10-03T00:00:00"/>
    <s v="YENJARAMOD"/>
    <x v="15"/>
    <n v="20"/>
    <n v="0"/>
    <n v="0"/>
    <n v="38700"/>
    <x v="1"/>
    <x v="15"/>
  </r>
  <r>
    <n v="97"/>
    <d v="2024-10-03T00:00:00"/>
    <s v="NEDUMANGAD"/>
    <x v="10"/>
    <n v="20"/>
    <n v="3000"/>
    <n v="7"/>
    <n v="34920"/>
    <x v="1"/>
    <x v="10"/>
  </r>
  <r>
    <n v="98"/>
    <d v="2024-10-03T00:00:00"/>
    <s v="PANCHAMOODU"/>
    <x v="28"/>
    <n v="55"/>
    <n v="0"/>
    <n v="0"/>
    <n v="108850"/>
    <x v="1"/>
    <x v="28"/>
  </r>
  <r>
    <n v="99"/>
    <d v="2024-10-03T00:00:00"/>
    <s v="NIYYATIGERE"/>
    <x v="11"/>
    <n v="21"/>
    <n v="0"/>
    <n v="0"/>
    <n v="42600"/>
    <x v="1"/>
    <x v="11"/>
  </r>
  <r>
    <n v="100"/>
    <d v="2024-10-03T00:00:00"/>
    <s v="THODUPUZHA"/>
    <x v="27"/>
    <n v="118"/>
    <n v="0"/>
    <n v="0"/>
    <n v="230100"/>
    <x v="1"/>
    <x v="27"/>
  </r>
  <r>
    <n v="101"/>
    <d v="2024-10-03T00:00:00"/>
    <s v="KARIVATTA"/>
    <x v="1"/>
    <n v="55"/>
    <n v="0"/>
    <n v="0"/>
    <n v="117100"/>
    <x v="1"/>
    <x v="1"/>
  </r>
  <r>
    <n v="102"/>
    <d v="2024-10-03T00:00:00"/>
    <s v="HMS"/>
    <x v="44"/>
    <n v="7"/>
    <n v="0"/>
    <n v="0"/>
    <n v="12500"/>
    <x v="1"/>
    <x v="44"/>
  </r>
  <r>
    <n v="103"/>
    <d v="2024-10-03T00:00:00"/>
    <s v="YETMANUR"/>
    <x v="4"/>
    <n v="5"/>
    <n v="0"/>
    <n v="0"/>
    <n v="9500"/>
    <x v="1"/>
    <x v="4"/>
  </r>
  <r>
    <n v="104"/>
    <d v="2024-10-04T00:00:00"/>
    <s v="HARI-PADU"/>
    <x v="40"/>
    <n v="7"/>
    <n v="0"/>
    <n v="0"/>
    <n v="9400"/>
    <x v="1"/>
    <x v="40"/>
  </r>
  <r>
    <n v="105"/>
    <d v="2024-10-04T00:00:00"/>
    <s v="NIYYATIGERE"/>
    <x v="11"/>
    <n v="19"/>
    <n v="0"/>
    <n v="0"/>
    <n v="46300"/>
    <x v="1"/>
    <x v="11"/>
  </r>
  <r>
    <n v="106"/>
    <d v="2024-10-04T00:00:00"/>
    <s v="PANCHAMOD"/>
    <x v="28"/>
    <n v="47"/>
    <n v="0"/>
    <n v="0"/>
    <n v="124400"/>
    <x v="1"/>
    <x v="28"/>
  </r>
  <r>
    <n v="107"/>
    <d v="2024-10-04T00:00:00"/>
    <s v="PALLAM"/>
    <x v="29"/>
    <n v="26"/>
    <n v="0"/>
    <n v="0"/>
    <n v="59750"/>
    <x v="1"/>
    <x v="29"/>
  </r>
  <r>
    <n v="108"/>
    <d v="2024-10-05T00:00:00"/>
    <s v="NIYYATIGERE"/>
    <x v="11"/>
    <n v="11"/>
    <n v="0"/>
    <n v="0"/>
    <n v="22500"/>
    <x v="1"/>
    <x v="11"/>
  </r>
  <r>
    <n v="109"/>
    <d v="2024-10-05T00:00:00"/>
    <s v="PANCHAMOD"/>
    <x v="28"/>
    <n v="60"/>
    <n v="0"/>
    <n v="0"/>
    <n v="115800"/>
    <x v="1"/>
    <x v="28"/>
  </r>
  <r>
    <n v="110"/>
    <d v="2024-10-05T00:00:00"/>
    <s v="PALLAM"/>
    <x v="29"/>
    <n v="37"/>
    <n v="0"/>
    <n v="0"/>
    <n v="56300"/>
    <x v="1"/>
    <x v="29"/>
  </r>
  <r>
    <n v="111"/>
    <d v="2024-10-07T00:00:00"/>
    <s v="KUNNAKULAM"/>
    <x v="23"/>
    <n v="8"/>
    <n v="0"/>
    <n v="0"/>
    <n v="13700"/>
    <x v="1"/>
    <x v="23"/>
  </r>
  <r>
    <n v="112"/>
    <d v="2024-10-10T00:00:00"/>
    <s v="VENJARAMOODU"/>
    <x v="15"/>
    <n v="20"/>
    <n v="0"/>
    <n v="0"/>
    <n v="47700"/>
    <x v="1"/>
    <x v="15"/>
  </r>
  <r>
    <n v="113"/>
    <d v="2024-10-11T00:00:00"/>
    <s v="THALICHERY"/>
    <x v="39"/>
    <n v="97"/>
    <n v="0"/>
    <n v="0"/>
    <n v="351420"/>
    <x v="1"/>
    <x v="39"/>
  </r>
  <r>
    <n v="114"/>
    <d v="2024-10-12T00:00:00"/>
    <s v="K-PALLI"/>
    <x v="9"/>
    <n v="39"/>
    <n v="0"/>
    <n v="0"/>
    <n v="102050"/>
    <x v="1"/>
    <x v="9"/>
  </r>
  <r>
    <n v="115"/>
    <d v="2024-10-12T00:00:00"/>
    <s v="YETMANUR"/>
    <x v="4"/>
    <n v="43"/>
    <n v="0"/>
    <n v="0"/>
    <n v="160800"/>
    <x v="1"/>
    <x v="4"/>
  </r>
  <r>
    <n v="116"/>
    <d v="2024-10-13T00:00:00"/>
    <s v="ARYANAD"/>
    <x v="26"/>
    <n v="11"/>
    <n v="0"/>
    <n v="0"/>
    <n v="28000"/>
    <x v="1"/>
    <x v="26"/>
  </r>
  <r>
    <n v="117"/>
    <d v="2024-10-13T00:00:00"/>
    <s v="CHAKKUVALLY"/>
    <x v="7"/>
    <n v="40"/>
    <n v="0"/>
    <n v="0"/>
    <n v="94100"/>
    <x v="1"/>
    <x v="7"/>
  </r>
  <r>
    <n v="118"/>
    <d v="2024-10-13T00:00:00"/>
    <s v="YETMANUR"/>
    <x v="4"/>
    <n v="66"/>
    <n v="0"/>
    <n v="0"/>
    <n v="233800"/>
    <x v="1"/>
    <x v="4"/>
  </r>
  <r>
    <n v="119"/>
    <d v="2024-10-14T00:00:00"/>
    <s v="NEDUMANGAD"/>
    <x v="10"/>
    <n v="32"/>
    <n v="3000"/>
    <n v="8"/>
    <n v="70170"/>
    <x v="1"/>
    <x v="10"/>
  </r>
  <r>
    <n v="120"/>
    <d v="2024-10-14T00:00:00"/>
    <s v="PALLAM"/>
    <x v="29"/>
    <n v="58"/>
    <n v="0"/>
    <n v="0"/>
    <n v="132450"/>
    <x v="1"/>
    <x v="29"/>
  </r>
  <r>
    <n v="121"/>
    <d v="2024-10-14T00:00:00"/>
    <s v="NEYYATTINKARA"/>
    <x v="45"/>
    <n v="12"/>
    <n v="0"/>
    <n v="0"/>
    <n v="26900"/>
    <x v="1"/>
    <x v="45"/>
  </r>
  <r>
    <n v="122"/>
    <d v="2024-10-14T00:00:00"/>
    <s v="PANACHAMOODU "/>
    <x v="28"/>
    <n v="27"/>
    <n v="0"/>
    <n v="0"/>
    <n v="62800"/>
    <x v="1"/>
    <x v="28"/>
  </r>
  <r>
    <n v="123"/>
    <d v="2024-10-16T00:00:00"/>
    <s v="PANACHAMOODU"/>
    <x v="28"/>
    <n v="113"/>
    <n v="0"/>
    <n v="0"/>
    <n v="246700"/>
    <x v="1"/>
    <x v="28"/>
  </r>
  <r>
    <n v="124"/>
    <d v="2024-10-16T00:00:00"/>
    <s v="NEDUMANGAD"/>
    <x v="10"/>
    <n v="30"/>
    <n v="3000"/>
    <n v="9"/>
    <n v="61800"/>
    <x v="1"/>
    <x v="10"/>
  </r>
  <r>
    <n v="125"/>
    <d v="2024-10-16T00:00:00"/>
    <s v="PALLAM"/>
    <x v="29"/>
    <n v="52"/>
    <n v="0"/>
    <n v="0"/>
    <n v="111400"/>
    <x v="1"/>
    <x v="29"/>
  </r>
  <r>
    <n v="126"/>
    <d v="2024-10-16T00:00:00"/>
    <s v="NEYYATTINKARA"/>
    <x v="11"/>
    <n v="5"/>
    <n v="0"/>
    <n v="0"/>
    <n v="11050"/>
    <x v="1"/>
    <x v="11"/>
  </r>
  <r>
    <n v="127"/>
    <d v="2024-10-20T00:00:00"/>
    <s v="KARUVATTA"/>
    <x v="1"/>
    <n v="11"/>
    <n v="0"/>
    <n v="0"/>
    <n v="32250"/>
    <x v="1"/>
    <x v="1"/>
  </r>
  <r>
    <n v="128"/>
    <d v="2024-10-20T00:00:00"/>
    <s v="HARI-PADU"/>
    <x v="40"/>
    <n v="31"/>
    <n v="0"/>
    <n v="0"/>
    <n v="97600"/>
    <x v="1"/>
    <x v="40"/>
  </r>
  <r>
    <n v="129"/>
    <d v="2024-10-20T00:00:00"/>
    <s v="HMS - KPALLI"/>
    <x v="46"/>
    <n v="25"/>
    <n v="0"/>
    <n v="0"/>
    <n v="80100"/>
    <x v="1"/>
    <x v="46"/>
  </r>
  <r>
    <n v="130"/>
    <d v="2024-10-20T00:00:00"/>
    <s v="ADOOR"/>
    <x v="2"/>
    <n v="39"/>
    <n v="0"/>
    <n v="0"/>
    <n v="118000"/>
    <x v="1"/>
    <x v="2"/>
  </r>
  <r>
    <n v="131"/>
    <d v="2024-10-21T00:00:00"/>
    <s v="ADOOR"/>
    <x v="2"/>
    <n v="35"/>
    <n v="0"/>
    <n v="0"/>
    <n v="107800"/>
    <x v="1"/>
    <x v="2"/>
  </r>
  <r>
    <n v="132"/>
    <d v="2024-10-21T00:00:00"/>
    <s v="ADOOR"/>
    <x v="2"/>
    <n v="18"/>
    <n v="0"/>
    <n v="0"/>
    <n v="53800"/>
    <x v="1"/>
    <x v="2"/>
  </r>
  <r>
    <n v="133"/>
    <d v="2024-10-22T00:00:00"/>
    <s v="PAIPAD "/>
    <x v="5"/>
    <n v="25"/>
    <n v="0"/>
    <n v="0"/>
    <n v="60900"/>
    <x v="1"/>
    <x v="5"/>
  </r>
  <r>
    <n v="134"/>
    <d v="2024-10-22T00:00:00"/>
    <s v="CHANGANACHERRY"/>
    <x v="47"/>
    <n v="16"/>
    <n v="0"/>
    <n v="0"/>
    <n v="38700"/>
    <x v="1"/>
    <x v="47"/>
  </r>
  <r>
    <n v="135"/>
    <d v="2024-10-24T00:00:00"/>
    <s v="THODUPUZHA"/>
    <x v="27"/>
    <n v="55"/>
    <n v="0"/>
    <n v="0"/>
    <n v="157230"/>
    <x v="1"/>
    <x v="27"/>
  </r>
  <r>
    <n v="136"/>
    <d v="2024-10-24T00:00:00"/>
    <s v="PAIPAD "/>
    <x v="5"/>
    <n v="34"/>
    <n v="5000"/>
    <n v="1"/>
    <n v="91750"/>
    <x v="1"/>
    <x v="5"/>
  </r>
  <r>
    <n v="137"/>
    <d v="2024-10-24T00:00:00"/>
    <s v="ADOOR"/>
    <x v="2"/>
    <n v="1"/>
    <n v="0"/>
    <n v="0"/>
    <n v="1500"/>
    <x v="1"/>
    <x v="2"/>
  </r>
  <r>
    <n v="138"/>
    <d v="2024-10-24T00:00:00"/>
    <s v="THODUPUZHA"/>
    <x v="48"/>
    <n v="32"/>
    <n v="0"/>
    <n v="0"/>
    <n v="91400"/>
    <x v="1"/>
    <x v="48"/>
  </r>
  <r>
    <n v="139"/>
    <d v="2024-10-24T00:00:00"/>
    <s v="YETMANUR"/>
    <x v="4"/>
    <n v="40"/>
    <n v="0"/>
    <n v="0"/>
    <n v="122400"/>
    <x v="1"/>
    <x v="4"/>
  </r>
  <r>
    <n v="140"/>
    <d v="2024-10-25T00:00:00"/>
    <s v="VENJARAMOD"/>
    <x v="15"/>
    <n v="35"/>
    <n v="0"/>
    <n v="0"/>
    <n v="45100"/>
    <x v="1"/>
    <x v="15"/>
  </r>
  <r>
    <n v="141"/>
    <d v="2024-10-25T00:00:00"/>
    <s v="PALLAM"/>
    <x v="29"/>
    <n v="60"/>
    <n v="0"/>
    <n v="0"/>
    <n v="73500"/>
    <x v="1"/>
    <x v="29"/>
  </r>
  <r>
    <n v="142"/>
    <d v="2024-10-25T00:00:00"/>
    <s v="MARTHANDA"/>
    <x v="43"/>
    <n v="20"/>
    <n v="0"/>
    <n v="0"/>
    <n v="22800"/>
    <x v="1"/>
    <x v="43"/>
  </r>
  <r>
    <n v="143"/>
    <d v="2024-10-26T00:00:00"/>
    <s v="PALLAM"/>
    <x v="29"/>
    <n v="33"/>
    <n v="0"/>
    <n v="0"/>
    <n v="45600"/>
    <x v="1"/>
    <x v="29"/>
  </r>
  <r>
    <n v="144"/>
    <d v="2024-10-26T00:00:00"/>
    <s v="NIYYATTINKARA "/>
    <x v="11"/>
    <n v="45"/>
    <n v="0"/>
    <n v="0"/>
    <n v="50800"/>
    <x v="1"/>
    <x v="11"/>
  </r>
  <r>
    <n v="145"/>
    <d v="2024-10-26T00:00:00"/>
    <s v="PANCHAMOOD "/>
    <x v="28"/>
    <n v="73"/>
    <n v="0"/>
    <n v="0"/>
    <n v="85450"/>
    <x v="1"/>
    <x v="28"/>
  </r>
  <r>
    <n v="146"/>
    <d v="2024-11-01T00:00:00"/>
    <s v="ADOOR"/>
    <x v="2"/>
    <n v="34"/>
    <n v="0"/>
    <n v="0"/>
    <n v="101700"/>
    <x v="2"/>
    <x v="2"/>
  </r>
  <r>
    <n v="147"/>
    <d v="2024-11-01T00:00:00"/>
    <s v="ADOOR"/>
    <x v="2"/>
    <n v="3"/>
    <n v="0"/>
    <n v="0"/>
    <n v="8700"/>
    <x v="2"/>
    <x v="2"/>
  </r>
  <r>
    <n v="148"/>
    <d v="2024-11-01T00:00:00"/>
    <s v="PAIPAD"/>
    <x v="5"/>
    <n v="55"/>
    <n v="5000"/>
    <n v="2"/>
    <n v="156400"/>
    <x v="2"/>
    <x v="5"/>
  </r>
  <r>
    <n v="149"/>
    <d v="2024-11-01T00:00:00"/>
    <s v="THODUPUZHA"/>
    <x v="48"/>
    <n v="19"/>
    <n v="0"/>
    <n v="0"/>
    <n v="62600"/>
    <x v="2"/>
    <x v="48"/>
  </r>
  <r>
    <n v="150"/>
    <d v="2024-11-01T00:00:00"/>
    <s v="CHANGANCHERY"/>
    <x v="47"/>
    <n v="30"/>
    <n v="0"/>
    <n v="0"/>
    <n v="85600"/>
    <x v="2"/>
    <x v="47"/>
  </r>
  <r>
    <n v="151"/>
    <d v="2024-11-01T00:00:00"/>
    <s v="YETMANUR"/>
    <x v="4"/>
    <n v="1"/>
    <n v="0"/>
    <n v="0"/>
    <n v="3100"/>
    <x v="2"/>
    <x v="4"/>
  </r>
  <r>
    <n v="152"/>
    <d v="2024-11-02T00:00:00"/>
    <s v="KOLLAKADAVU"/>
    <x v="49"/>
    <n v="9"/>
    <n v="0"/>
    <n v="0"/>
    <n v="24800"/>
    <x v="2"/>
    <x v="49"/>
  </r>
  <r>
    <n v="153"/>
    <d v="2024-11-03T00:00:00"/>
    <s v="KUMBAZHA"/>
    <x v="50"/>
    <n v="34"/>
    <n v="0"/>
    <n v="0"/>
    <n v="52700"/>
    <x v="2"/>
    <x v="50"/>
  </r>
  <r>
    <n v="154"/>
    <d v="2024-11-04T00:00:00"/>
    <s v="KUNDOTY "/>
    <x v="41"/>
    <n v="23"/>
    <n v="2000"/>
    <n v="3"/>
    <n v="58150"/>
    <x v="2"/>
    <x v="41"/>
  </r>
  <r>
    <n v="155"/>
    <d v="2024-11-04T00:00:00"/>
    <s v="THALLICHERY"/>
    <x v="39"/>
    <n v="10"/>
    <n v="0"/>
    <n v="0"/>
    <n v="26000"/>
    <x v="2"/>
    <x v="39"/>
  </r>
  <r>
    <n v="156"/>
    <d v="2024-11-04T00:00:00"/>
    <s v="K PALLI "/>
    <x v="17"/>
    <n v="50"/>
    <n v="0"/>
    <n v="0"/>
    <n v="86250"/>
    <x v="2"/>
    <x v="17"/>
  </r>
  <r>
    <n v="157"/>
    <d v="2024-11-04T00:00:00"/>
    <s v="CALICUT CENTRAL"/>
    <x v="51"/>
    <n v="12"/>
    <n v="0"/>
    <n v="0"/>
    <n v="34350"/>
    <x v="2"/>
    <x v="51"/>
  </r>
  <r>
    <n v="158"/>
    <d v="2024-11-04T00:00:00"/>
    <s v="K-PALLI"/>
    <x v="9"/>
    <n v="2"/>
    <n v="0"/>
    <n v="0"/>
    <n v="4500"/>
    <x v="2"/>
    <x v="9"/>
  </r>
  <r>
    <n v="159"/>
    <d v="2024-11-04T00:00:00"/>
    <s v="ADOOR"/>
    <x v="52"/>
    <n v="15"/>
    <n v="0"/>
    <n v="0"/>
    <n v="39600"/>
    <x v="2"/>
    <x v="52"/>
  </r>
  <r>
    <n v="160"/>
    <d v="2024-11-05T00:00:00"/>
    <s v="KARUVATTA"/>
    <x v="1"/>
    <n v="16"/>
    <n v="0"/>
    <n v="0"/>
    <n v="31300"/>
    <x v="2"/>
    <x v="1"/>
  </r>
  <r>
    <n v="161"/>
    <d v="2024-11-05T00:00:00"/>
    <s v="CHAKKUVALLI"/>
    <x v="7"/>
    <n v="20"/>
    <n v="0"/>
    <n v="0"/>
    <n v="35600"/>
    <x v="2"/>
    <x v="7"/>
  </r>
  <r>
    <n v="162"/>
    <d v="2024-11-05T00:00:00"/>
    <s v="K-PALLI"/>
    <x v="53"/>
    <n v="2"/>
    <n v="0"/>
    <n v="0"/>
    <n v="5700"/>
    <x v="2"/>
    <x v="14"/>
  </r>
  <r>
    <n v="163"/>
    <d v="2024-11-06T00:00:00"/>
    <s v="VENJARAMOD"/>
    <x v="15"/>
    <n v="30"/>
    <n v="0"/>
    <n v="0"/>
    <n v="42000"/>
    <x v="2"/>
    <x v="15"/>
  </r>
  <r>
    <n v="164"/>
    <d v="2024-11-06T00:00:00"/>
    <s v="NEDUMANGAD"/>
    <x v="10"/>
    <n v="24"/>
    <n v="3000"/>
    <n v="10"/>
    <n v="34940"/>
    <x v="2"/>
    <x v="10"/>
  </r>
  <r>
    <n v="165"/>
    <d v="2024-11-06T00:00:00"/>
    <s v="ALANGOD"/>
    <x v="11"/>
    <n v="20"/>
    <n v="0"/>
    <n v="0"/>
    <n v="24500"/>
    <x v="2"/>
    <x v="11"/>
  </r>
  <r>
    <n v="166"/>
    <d v="2024-11-07T00:00:00"/>
    <s v="ADOOR"/>
    <x v="2"/>
    <n v="15"/>
    <n v="0"/>
    <n v="0"/>
    <n v="30000"/>
    <x v="2"/>
    <x v="2"/>
  </r>
  <r>
    <n v="167"/>
    <d v="2024-11-07T00:00:00"/>
    <s v="Y-PIN"/>
    <x v="50"/>
    <n v="63"/>
    <n v="0"/>
    <n v="0"/>
    <n v="229500"/>
    <x v="2"/>
    <x v="50"/>
  </r>
  <r>
    <n v="168"/>
    <d v="2024-11-09T00:00:00"/>
    <s v="THODUPUZHA "/>
    <x v="48"/>
    <n v="115"/>
    <n v="0"/>
    <n v="0"/>
    <n v="256000"/>
    <x v="2"/>
    <x v="48"/>
  </r>
  <r>
    <n v="169"/>
    <d v="2024-11-09T00:00:00"/>
    <s v="YETMANUR"/>
    <x v="4"/>
    <n v="31"/>
    <n v="0"/>
    <n v="0"/>
    <n v="47800"/>
    <x v="2"/>
    <x v="4"/>
  </r>
  <r>
    <n v="170"/>
    <d v="2024-11-09T00:00:00"/>
    <s v="K-PALLI"/>
    <x v="9"/>
    <n v="12"/>
    <n v="0"/>
    <n v="0"/>
    <n v="24000"/>
    <x v="2"/>
    <x v="9"/>
  </r>
  <r>
    <n v="171"/>
    <d v="2024-11-10T00:00:00"/>
    <s v="ADOOR "/>
    <x v="2"/>
    <n v="24"/>
    <n v="0"/>
    <n v="0"/>
    <n v="45200"/>
    <x v="2"/>
    <x v="2"/>
  </r>
  <r>
    <n v="172"/>
    <d v="2024-11-11T00:00:00"/>
    <s v="PALLAM"/>
    <x v="29"/>
    <n v="86"/>
    <n v="0"/>
    <n v="0"/>
    <n v="156850"/>
    <x v="2"/>
    <x v="29"/>
  </r>
  <r>
    <n v="173"/>
    <d v="2024-11-11T00:00:00"/>
    <s v="ARYANADU "/>
    <x v="26"/>
    <n v="7"/>
    <n v="0"/>
    <n v="0"/>
    <n v="14700"/>
    <x v="2"/>
    <x v="26"/>
  </r>
  <r>
    <n v="174"/>
    <d v="2024-11-11T00:00:00"/>
    <s v="VENJARAMOODU"/>
    <x v="15"/>
    <n v="17"/>
    <n v="0"/>
    <n v="0"/>
    <n v="37850"/>
    <x v="2"/>
    <x v="15"/>
  </r>
  <r>
    <n v="175"/>
    <d v="2024-11-11T00:00:00"/>
    <s v="KUNNAMKULAM"/>
    <x v="23"/>
    <n v="26"/>
    <n v="0"/>
    <n v="0"/>
    <n v="68570"/>
    <x v="2"/>
    <x v="23"/>
  </r>
  <r>
    <n v="176"/>
    <d v="2024-11-12T00:00:00"/>
    <s v="NEDUMANGAD "/>
    <x v="10"/>
    <n v="15"/>
    <n v="3000"/>
    <n v="11"/>
    <n v="25440"/>
    <x v="2"/>
    <x v="10"/>
  </r>
  <r>
    <n v="177"/>
    <d v="2024-11-12T00:00:00"/>
    <s v="ARYANADU "/>
    <x v="26"/>
    <n v="10"/>
    <n v="0"/>
    <n v="0"/>
    <n v="22000"/>
    <x v="2"/>
    <x v="26"/>
  </r>
  <r>
    <n v="178"/>
    <d v="2024-11-12T00:00:00"/>
    <s v="KARUVATTA"/>
    <x v="1"/>
    <n v="19"/>
    <n v="0"/>
    <n v="0"/>
    <n v="40800"/>
    <x v="2"/>
    <x v="1"/>
  </r>
  <r>
    <n v="179"/>
    <d v="2024-11-12T00:00:00"/>
    <s v="ADOOR"/>
    <x v="2"/>
    <n v="4"/>
    <n v="0"/>
    <n v="0"/>
    <n v="6700"/>
    <x v="2"/>
    <x v="2"/>
  </r>
  <r>
    <n v="180"/>
    <d v="2024-11-12T00:00:00"/>
    <s v="CHAKKUVALLI "/>
    <x v="7"/>
    <n v="30"/>
    <n v="0"/>
    <n v="0"/>
    <n v="62400"/>
    <x v="2"/>
    <x v="7"/>
  </r>
  <r>
    <n v="181"/>
    <d v="2024-11-12T00:00:00"/>
    <s v="CHERTHALA"/>
    <x v="12"/>
    <n v="26"/>
    <n v="0"/>
    <n v="0"/>
    <n v="48750"/>
    <x v="2"/>
    <x v="12"/>
  </r>
  <r>
    <n v="182"/>
    <d v="2024-11-12T00:00:00"/>
    <s v="KALAVOOR "/>
    <x v="13"/>
    <n v="5"/>
    <n v="0"/>
    <n v="0"/>
    <n v="13200"/>
    <x v="2"/>
    <x v="13"/>
  </r>
  <r>
    <n v="183"/>
    <d v="2024-11-12T00:00:00"/>
    <s v="K-PALLI"/>
    <x v="16"/>
    <n v="47"/>
    <n v="5000"/>
    <n v="33"/>
    <n v="89100"/>
    <x v="2"/>
    <x v="16"/>
  </r>
  <r>
    <n v="184"/>
    <d v="2024-11-13T00:00:00"/>
    <s v="NEDUMANGAD "/>
    <x v="10"/>
    <n v="21"/>
    <n v="3000"/>
    <n v="12"/>
    <n v="23180"/>
    <x v="2"/>
    <x v="10"/>
  </r>
  <r>
    <n v="185"/>
    <d v="2024-11-13T00:00:00"/>
    <s v="VENJARAMOODU"/>
    <x v="15"/>
    <n v="20"/>
    <n v="0"/>
    <n v="0"/>
    <n v="29700"/>
    <x v="2"/>
    <x v="15"/>
  </r>
  <r>
    <n v="186"/>
    <d v="2024-11-14T00:00:00"/>
    <s v="PANACHAMOODU"/>
    <x v="28"/>
    <n v="5"/>
    <n v="0"/>
    <n v="0"/>
    <n v="11500"/>
    <x v="2"/>
    <x v="28"/>
  </r>
  <r>
    <n v="187"/>
    <d v="2024-11-14T00:00:00"/>
    <s v="KALIKALA"/>
    <x v="54"/>
    <n v="16"/>
    <n v="0"/>
    <n v="0"/>
    <n v="38000"/>
    <x v="2"/>
    <x v="53"/>
  </r>
  <r>
    <n v="188"/>
    <d v="2024-11-14T00:00:00"/>
    <s v="PALLAM"/>
    <x v="29"/>
    <n v="13"/>
    <n v="0"/>
    <n v="0"/>
    <n v="28800"/>
    <x v="2"/>
    <x v="29"/>
  </r>
  <r>
    <n v="189"/>
    <d v="2024-11-14T00:00:00"/>
    <s v="ARYANADU"/>
    <x v="26"/>
    <n v="78"/>
    <n v="0"/>
    <n v="0"/>
    <n v="174800"/>
    <x v="2"/>
    <x v="26"/>
  </r>
  <r>
    <n v="190"/>
    <d v="2024-11-15T00:00:00"/>
    <s v="PANACHAMOODU"/>
    <x v="28"/>
    <n v="68"/>
    <n v="0"/>
    <n v="0"/>
    <n v="153400"/>
    <x v="2"/>
    <x v="28"/>
  </r>
  <r>
    <n v="191"/>
    <d v="2024-11-15T00:00:00"/>
    <s v="NIYATINKARA"/>
    <x v="54"/>
    <n v="20"/>
    <n v="0"/>
    <n v="0"/>
    <n v="43900"/>
    <x v="2"/>
    <x v="53"/>
  </r>
  <r>
    <n v="192"/>
    <d v="2024-11-15T00:00:00"/>
    <s v="KALAMUKKU"/>
    <x v="55"/>
    <n v="50"/>
    <n v="0"/>
    <n v="0"/>
    <n v="150500"/>
    <x v="2"/>
    <x v="54"/>
  </r>
  <r>
    <n v="193"/>
    <d v="2024-11-15T00:00:00"/>
    <s v="CHAKKUWALLI"/>
    <x v="7"/>
    <n v="1"/>
    <n v="0"/>
    <n v="0"/>
    <n v="2100"/>
    <x v="2"/>
    <x v="7"/>
  </r>
  <r>
    <n v="194"/>
    <d v="2024-11-16T00:00:00"/>
    <s v="PALLAM"/>
    <x v="29"/>
    <n v="30"/>
    <n v="0"/>
    <n v="0"/>
    <n v="53600"/>
    <x v="2"/>
    <x v="29"/>
  </r>
  <r>
    <n v="195"/>
    <d v="2024-11-16T00:00:00"/>
    <s v="VENJARAMOODU"/>
    <x v="15"/>
    <n v="15"/>
    <n v="0"/>
    <n v="0"/>
    <n v="28200"/>
    <x v="2"/>
    <x v="15"/>
  </r>
  <r>
    <n v="196"/>
    <d v="2024-11-16T00:00:00"/>
    <s v="KOTTARAKARA "/>
    <x v="32"/>
    <n v="22"/>
    <n v="0"/>
    <n v="0"/>
    <n v="37450"/>
    <x v="2"/>
    <x v="32"/>
  </r>
  <r>
    <n v="197"/>
    <d v="2024-11-16T00:00:00"/>
    <s v="NEDUMANGAD"/>
    <x v="10"/>
    <n v="15"/>
    <n v="3000"/>
    <n v="13"/>
    <n v="27200"/>
    <x v="2"/>
    <x v="10"/>
  </r>
  <r>
    <n v="198"/>
    <d v="2024-11-16T00:00:00"/>
    <s v="TRIVENDRUM "/>
    <x v="56"/>
    <n v="2"/>
    <n v="0"/>
    <n v="0"/>
    <n v="6190"/>
    <x v="2"/>
    <x v="55"/>
  </r>
  <r>
    <n v="199"/>
    <d v="2024-11-16T00:00:00"/>
    <s v="PALLAM"/>
    <x v="29"/>
    <n v="240"/>
    <n v="0"/>
    <n v="0"/>
    <n v="355300"/>
    <x v="2"/>
    <x v="29"/>
  </r>
  <r>
    <n v="200"/>
    <d v="2024-11-17T00:00:00"/>
    <s v="KOTTARAKARA "/>
    <x v="32"/>
    <n v="10"/>
    <n v="0"/>
    <n v="0"/>
    <n v="17800"/>
    <x v="2"/>
    <x v="32"/>
  </r>
  <r>
    <n v="201"/>
    <d v="2024-11-18T00:00:00"/>
    <s v="KUNNAKOLAM "/>
    <x v="23"/>
    <n v="108"/>
    <n v="0"/>
    <n v="0"/>
    <n v="230650"/>
    <x v="2"/>
    <x v="23"/>
  </r>
  <r>
    <n v="202"/>
    <d v="2024-11-18T00:00:00"/>
    <s v="CALICUT"/>
    <x v="35"/>
    <n v="32"/>
    <n v="0"/>
    <n v="0"/>
    <n v="73920"/>
    <x v="2"/>
    <x v="35"/>
  </r>
  <r>
    <n v="203"/>
    <d v="2024-11-18T00:00:00"/>
    <s v="KUNDOTY "/>
    <x v="41"/>
    <n v="20"/>
    <n v="2000"/>
    <n v="4"/>
    <n v="45770"/>
    <x v="2"/>
    <x v="41"/>
  </r>
  <r>
    <n v="204"/>
    <d v="2024-11-18T00:00:00"/>
    <s v="THIROOR "/>
    <x v="34"/>
    <n v="40"/>
    <n v="5000"/>
    <n v="3"/>
    <n v="83550"/>
    <x v="2"/>
    <x v="34"/>
  </r>
  <r>
    <n v="205"/>
    <d v="2024-11-19T00:00:00"/>
    <s v="ARYANADU"/>
    <x v="26"/>
    <n v="39"/>
    <n v="0"/>
    <n v="0"/>
    <n v="84600"/>
    <x v="2"/>
    <x v="26"/>
  </r>
  <r>
    <n v="206"/>
    <d v="2024-11-20T00:00:00"/>
    <s v="TRIVENDRUM"/>
    <x v="57"/>
    <n v="107"/>
    <n v="2000"/>
    <n v="3"/>
    <n v="222240"/>
    <x v="2"/>
    <x v="56"/>
  </r>
  <r>
    <n v="207"/>
    <d v="2024-11-20T00:00:00"/>
    <s v="NEDUMANGAD "/>
    <x v="10"/>
    <n v="30"/>
    <n v="3000"/>
    <n v="14"/>
    <n v="61800"/>
    <x v="2"/>
    <x v="10"/>
  </r>
  <r>
    <n v="208"/>
    <d v="2024-11-21T00:00:00"/>
    <s v="PANCHAMOODU "/>
    <x v="28"/>
    <n v="56"/>
    <n v="0"/>
    <n v="0"/>
    <n v="118400"/>
    <x v="2"/>
    <x v="28"/>
  </r>
  <r>
    <n v="209"/>
    <d v="2024-11-21T00:00:00"/>
    <s v="ADOOR "/>
    <x v="2"/>
    <n v="41"/>
    <n v="0"/>
    <n v="0"/>
    <n v="136000"/>
    <x v="2"/>
    <x v="2"/>
  </r>
  <r>
    <n v="210"/>
    <d v="2024-11-21T00:00:00"/>
    <s v="ARYANAD"/>
    <x v="26"/>
    <n v="73"/>
    <n v="0"/>
    <n v="0"/>
    <n v="115000"/>
    <x v="2"/>
    <x v="26"/>
  </r>
  <r>
    <n v="211"/>
    <d v="2024-11-21T00:00:00"/>
    <s v="ARYANAD"/>
    <x v="26"/>
    <n v="24"/>
    <n v="0"/>
    <n v="0"/>
    <n v="37600"/>
    <x v="2"/>
    <x v="26"/>
  </r>
  <r>
    <n v="212"/>
    <d v="2024-11-22T00:00:00"/>
    <s v="TRIVENDRUM"/>
    <x v="56"/>
    <n v="34"/>
    <n v="0"/>
    <n v="0"/>
    <n v="34650"/>
    <x v="2"/>
    <x v="55"/>
  </r>
  <r>
    <n v="213"/>
    <d v="2024-11-22T00:00:00"/>
    <s v="TRIVENDRUM"/>
    <x v="56"/>
    <n v="5"/>
    <n v="0"/>
    <n v="0"/>
    <n v="11065"/>
    <x v="2"/>
    <x v="55"/>
  </r>
  <r>
    <n v="214"/>
    <d v="2024-11-23T00:00:00"/>
    <s v="PALLAM"/>
    <x v="58"/>
    <n v="89"/>
    <n v="0"/>
    <n v="0"/>
    <n v="112000"/>
    <x v="2"/>
    <x v="29"/>
  </r>
  <r>
    <n v="215"/>
    <d v="2024-11-23T00:00:00"/>
    <s v="VENJARAMOODU"/>
    <x v="15"/>
    <n v="20"/>
    <n v="0"/>
    <n v="0"/>
    <n v="24300"/>
    <x v="2"/>
    <x v="15"/>
  </r>
  <r>
    <n v="216"/>
    <d v="2024-11-23T00:00:00"/>
    <s v="NEDUMANGAD"/>
    <x v="10"/>
    <n v="20"/>
    <n v="3000"/>
    <n v="15"/>
    <n v="20840"/>
    <x v="2"/>
    <x v="10"/>
  </r>
  <r>
    <n v="217"/>
    <d v="2024-11-24T00:00:00"/>
    <s v="KALLIKALA"/>
    <x v="54"/>
    <n v="54"/>
    <n v="0"/>
    <n v="0"/>
    <n v="22350"/>
    <x v="2"/>
    <x v="53"/>
  </r>
  <r>
    <n v="218"/>
    <d v="2024-11-24T00:00:00"/>
    <s v="PANACHAMOODU "/>
    <x v="28"/>
    <n v="59"/>
    <n v="0"/>
    <n v="0"/>
    <n v="76900"/>
    <x v="2"/>
    <x v="28"/>
  </r>
  <r>
    <n v="219"/>
    <d v="2024-11-24T00:00:00"/>
    <s v="KALIYAKKAVILAI"/>
    <x v="54"/>
    <n v="12"/>
    <n v="0"/>
    <n v="0"/>
    <n v="17700"/>
    <x v="2"/>
    <x v="53"/>
  </r>
  <r>
    <n v="220"/>
    <d v="2024-11-27T00:00:00"/>
    <s v="PANACHAMOODU"/>
    <x v="28"/>
    <n v="72"/>
    <n v="0"/>
    <n v="0"/>
    <n v="94000"/>
    <x v="2"/>
    <x v="28"/>
  </r>
  <r>
    <n v="221"/>
    <d v="2024-11-27T00:00:00"/>
    <s v="VENJARAMOODU"/>
    <x v="15"/>
    <n v="84"/>
    <n v="0"/>
    <n v="0"/>
    <n v="109950"/>
    <x v="2"/>
    <x v="15"/>
  </r>
  <r>
    <n v="222"/>
    <d v="2024-11-27T00:00:00"/>
    <s v="K-PALLI"/>
    <x v="17"/>
    <n v="78"/>
    <n v="0"/>
    <n v="0"/>
    <n v="109710"/>
    <x v="2"/>
    <x v="17"/>
  </r>
  <r>
    <n v="223"/>
    <d v="2024-11-28T00:00:00"/>
    <s v="THALASSERY "/>
    <x v="39"/>
    <n v="17"/>
    <n v="0"/>
    <n v="0"/>
    <n v="44030"/>
    <x v="2"/>
    <x v="39"/>
  </r>
  <r>
    <n v="224"/>
    <d v="2024-11-28T00:00:00"/>
    <s v="CALICUT BEACH"/>
    <x v="33"/>
    <n v="10"/>
    <n v="0"/>
    <n v="0"/>
    <n v="26550"/>
    <x v="2"/>
    <x v="33"/>
  </r>
  <r>
    <n v="225"/>
    <d v="2024-11-29T00:00:00"/>
    <s v="KALAVOOR "/>
    <x v="13"/>
    <n v="13"/>
    <n v="0"/>
    <n v="0"/>
    <n v="33450"/>
    <x v="2"/>
    <x v="13"/>
  </r>
  <r>
    <n v="226"/>
    <d v="2024-11-29T00:00:00"/>
    <s v="CHERTHALA"/>
    <x v="12"/>
    <n v="5"/>
    <n v="0"/>
    <n v="0"/>
    <n v="14050"/>
    <x v="2"/>
    <x v="12"/>
  </r>
  <r>
    <n v="227"/>
    <d v="2024-11-29T00:00:00"/>
    <s v="VENJARAMOODU"/>
    <x v="15"/>
    <n v="95"/>
    <n v="0"/>
    <n v="0"/>
    <n v="124350"/>
    <x v="2"/>
    <x v="15"/>
  </r>
  <r>
    <n v="228"/>
    <d v="2024-11-29T00:00:00"/>
    <s v="ALVE"/>
    <x v="21"/>
    <n v="29"/>
    <n v="0"/>
    <n v="0"/>
    <n v="64820"/>
    <x v="2"/>
    <x v="21"/>
  </r>
  <r>
    <n v="229"/>
    <d v="2024-11-29T00:00:00"/>
    <s v="PALLAM"/>
    <x v="29"/>
    <n v="102"/>
    <n v="0"/>
    <n v="0"/>
    <n v="133600"/>
    <x v="2"/>
    <x v="29"/>
  </r>
  <r>
    <n v="230"/>
    <d v="2024-11-30T00:00:00"/>
    <s v="PALLAM"/>
    <x v="58"/>
    <n v="77"/>
    <n v="0"/>
    <n v="0"/>
    <n v="112500"/>
    <x v="2"/>
    <x v="29"/>
  </r>
  <r>
    <n v="231"/>
    <d v="2024-12-01T00:00:00"/>
    <s v="PANACHAMOODU"/>
    <x v="28"/>
    <n v="154"/>
    <n v="0"/>
    <n v="0"/>
    <n v="177900"/>
    <x v="3"/>
    <x v="28"/>
  </r>
  <r>
    <n v="232"/>
    <d v="2024-12-01T00:00:00"/>
    <s v="KALIYAKAVILAI"/>
    <x v="54"/>
    <n v="60"/>
    <n v="0"/>
    <n v="0"/>
    <n v="72900"/>
    <x v="3"/>
    <x v="53"/>
  </r>
  <r>
    <n v="233"/>
    <d v="2024-12-01T00:00:00"/>
    <s v="ARYANADU"/>
    <x v="26"/>
    <n v="24"/>
    <n v="0"/>
    <n v="0"/>
    <n v="31400"/>
    <x v="3"/>
    <x v="26"/>
  </r>
  <r>
    <n v="234"/>
    <d v="2024-12-01T00:00:00"/>
    <s v="ARYANADU"/>
    <x v="26"/>
    <n v="13"/>
    <n v="0"/>
    <n v="0"/>
    <n v="12800"/>
    <x v="3"/>
    <x v="26"/>
  </r>
  <r>
    <n v="235"/>
    <d v="2024-12-02T00:00:00"/>
    <s v="PANACHAMOOFU"/>
    <x v="28"/>
    <n v="26"/>
    <n v="0"/>
    <n v="0"/>
    <n v="33800"/>
    <x v="3"/>
    <x v="28"/>
  </r>
  <r>
    <n v="236"/>
    <d v="2024-12-02T00:00:00"/>
    <s v="PALLOM"/>
    <x v="29"/>
    <n v="103"/>
    <n v="0"/>
    <n v="0"/>
    <n v="231500"/>
    <x v="3"/>
    <x v="29"/>
  </r>
  <r>
    <n v="237"/>
    <d v="2024-12-03T00:00:00"/>
    <s v="KALIYAKKAVILAI"/>
    <x v="54"/>
    <n v="64"/>
    <n v="0"/>
    <n v="0"/>
    <n v="105300"/>
    <x v="3"/>
    <x v="53"/>
  </r>
  <r>
    <n v="238"/>
    <d v="2024-12-03T00:00:00"/>
    <s v="MARTHANDAM"/>
    <x v="43"/>
    <n v="33"/>
    <n v="0"/>
    <n v="0"/>
    <n v="58000"/>
    <x v="3"/>
    <x v="43"/>
  </r>
  <r>
    <n v="239"/>
    <d v="2024-12-03T00:00:00"/>
    <s v="ARYANADU"/>
    <x v="26"/>
    <n v="57"/>
    <n v="0"/>
    <n v="0"/>
    <n v="99200"/>
    <x v="3"/>
    <x v="26"/>
  </r>
  <r>
    <n v="240"/>
    <d v="2024-12-03T00:00:00"/>
    <s v="ARYANADU"/>
    <x v="26"/>
    <n v="19"/>
    <n v="0"/>
    <n v="0"/>
    <n v="25050"/>
    <x v="3"/>
    <x v="26"/>
  </r>
  <r>
    <n v="241"/>
    <d v="2024-12-04T00:00:00"/>
    <s v="PANACHAMOODU"/>
    <x v="28"/>
    <n v="43"/>
    <n v="0"/>
    <n v="0"/>
    <n v="36700"/>
    <x v="3"/>
    <x v="28"/>
  </r>
  <r>
    <n v="242"/>
    <d v="2024-12-04T00:00:00"/>
    <s v="MARTHANDA "/>
    <x v="43"/>
    <n v="35"/>
    <n v="0"/>
    <n v="0"/>
    <n v="39400"/>
    <x v="3"/>
    <x v="43"/>
  </r>
  <r>
    <n v="243"/>
    <d v="2024-12-04T00:00:00"/>
    <s v="NIYYATINKARA"/>
    <x v="54"/>
    <n v="21"/>
    <n v="0"/>
    <n v="0"/>
    <n v="20800"/>
    <x v="3"/>
    <x v="53"/>
  </r>
  <r>
    <n v="244"/>
    <d v="2024-12-04T00:00:00"/>
    <s v="KALLIKALA"/>
    <x v="54"/>
    <n v="25"/>
    <n v="0"/>
    <n v="0"/>
    <n v="14500"/>
    <x v="3"/>
    <x v="53"/>
  </r>
  <r>
    <n v="245"/>
    <d v="2024-12-04T00:00:00"/>
    <s v="KOILANDI"/>
    <x v="59"/>
    <n v="30"/>
    <n v="0"/>
    <n v="0"/>
    <n v="85200"/>
    <x v="3"/>
    <x v="57"/>
  </r>
  <r>
    <n v="246"/>
    <d v="2024-12-04T00:00:00"/>
    <s v="CALICUT CENTRAL"/>
    <x v="51"/>
    <n v="30"/>
    <n v="0"/>
    <n v="0"/>
    <n v="77850"/>
    <x v="3"/>
    <x v="51"/>
  </r>
  <r>
    <n v="247"/>
    <d v="2024-12-04T00:00:00"/>
    <s v="TIRUR"/>
    <x v="34"/>
    <n v="40"/>
    <n v="5000"/>
    <n v="5"/>
    <n v="102470"/>
    <x v="3"/>
    <x v="34"/>
  </r>
  <r>
    <n v="248"/>
    <d v="2024-12-04T00:00:00"/>
    <s v="KUNNAMKOLAM"/>
    <x v="23"/>
    <n v="5"/>
    <n v="0"/>
    <n v="0"/>
    <n v="14350"/>
    <x v="3"/>
    <x v="23"/>
  </r>
  <r>
    <n v="249"/>
    <d v="2024-12-05T00:00:00"/>
    <s v="THALASSEY"/>
    <x v="39"/>
    <n v="25"/>
    <n v="0"/>
    <n v="0"/>
    <n v="64750"/>
    <x v="3"/>
    <x v="39"/>
  </r>
  <r>
    <n v="250"/>
    <d v="2024-12-05T00:00:00"/>
    <s v="THRISSUR"/>
    <x v="60"/>
    <n v="20"/>
    <n v="0"/>
    <n v="0"/>
    <n v="48600"/>
    <x v="3"/>
    <x v="58"/>
  </r>
  <r>
    <n v="251"/>
    <d v="2024-12-05T00:00:00"/>
    <s v="ALUVA"/>
    <x v="21"/>
    <n v="10"/>
    <n v="0"/>
    <n v="0"/>
    <n v="21470"/>
    <x v="3"/>
    <x v="21"/>
  </r>
  <r>
    <n v="252"/>
    <d v="2024-12-05T00:00:00"/>
    <s v="KALAMUKKU"/>
    <x v="55"/>
    <n v="39"/>
    <n v="0"/>
    <n v="0"/>
    <n v="113150"/>
    <x v="3"/>
    <x v="54"/>
  </r>
  <r>
    <n v="253"/>
    <d v="2024-12-06T00:00:00"/>
    <s v="ARYANADU"/>
    <x v="26"/>
    <n v="2"/>
    <n v="0"/>
    <n v="0"/>
    <n v="2450"/>
    <x v="3"/>
    <x v="26"/>
  </r>
  <r>
    <n v="254"/>
    <d v="2024-12-07T00:00:00"/>
    <s v="PALLAM"/>
    <x v="29"/>
    <n v="122"/>
    <n v="0"/>
    <n v="0"/>
    <n v="107750"/>
    <x v="3"/>
    <x v="29"/>
  </r>
  <r>
    <n v="255"/>
    <d v="2024-12-07T00:00:00"/>
    <s v="NIYYATTINKERE"/>
    <x v="54"/>
    <n v="73"/>
    <n v="0"/>
    <n v="0"/>
    <n v="97500"/>
    <x v="3"/>
    <x v="53"/>
  </r>
  <r>
    <n v="256"/>
    <d v="2024-12-07T00:00:00"/>
    <s v="PANCHAMOODU"/>
    <x v="28"/>
    <n v="30"/>
    <n v="0"/>
    <n v="0"/>
    <n v="33000"/>
    <x v="3"/>
    <x v="28"/>
  </r>
  <r>
    <n v="257"/>
    <d v="2024-12-07T00:00:00"/>
    <s v="HARI-PADU"/>
    <x v="40"/>
    <n v="2"/>
    <n v="0"/>
    <n v="0"/>
    <n v="4000"/>
    <x v="3"/>
    <x v="40"/>
  </r>
  <r>
    <n v="258"/>
    <d v="2024-12-07T00:00:00"/>
    <s v="KARIVATTA"/>
    <x v="1"/>
    <n v="4"/>
    <n v="0"/>
    <n v="0"/>
    <n v="7900"/>
    <x v="3"/>
    <x v="1"/>
  </r>
  <r>
    <n v="259"/>
    <d v="2024-12-07T00:00:00"/>
    <s v="ADOOR "/>
    <x v="2"/>
    <n v="13"/>
    <n v="0"/>
    <n v="0"/>
    <n v="28900"/>
    <x v="3"/>
    <x v="2"/>
  </r>
  <r>
    <n v="260"/>
    <d v="2024-12-08T00:00:00"/>
    <s v="KAYAMKULAM"/>
    <x v="61"/>
    <n v="11"/>
    <n v="0"/>
    <n v="0"/>
    <n v="21300"/>
    <x v="3"/>
    <x v="59"/>
  </r>
  <r>
    <n v="261"/>
    <d v="2024-12-09T00:00:00"/>
    <s v="PALLAM"/>
    <x v="29"/>
    <n v="10"/>
    <n v="0"/>
    <n v="0"/>
    <n v="16800"/>
    <x v="3"/>
    <x v="29"/>
  </r>
  <r>
    <n v="262"/>
    <d v="2024-12-09T00:00:00"/>
    <s v="ARYANADU"/>
    <x v="26"/>
    <n v="17"/>
    <n v="0"/>
    <n v="0"/>
    <n v="29450"/>
    <x v="3"/>
    <x v="26"/>
  </r>
  <r>
    <n v="263"/>
    <d v="2024-12-09T00:00:00"/>
    <s v="VENJARAMOODU"/>
    <x v="15"/>
    <n v="25"/>
    <n v="0"/>
    <n v="0"/>
    <n v="48400"/>
    <x v="3"/>
    <x v="15"/>
  </r>
  <r>
    <n v="264"/>
    <d v="2024-12-09T00:00:00"/>
    <s v="PALLAM"/>
    <x v="29"/>
    <n v="56"/>
    <n v="0"/>
    <n v="0"/>
    <n v="134200"/>
    <x v="3"/>
    <x v="29"/>
  </r>
  <r>
    <n v="265"/>
    <d v="2024-12-10T00:00:00"/>
    <s v="PARAMPALLI"/>
    <x v="62"/>
    <n v="36"/>
    <n v="0"/>
    <n v="0"/>
    <n v="54690"/>
    <x v="3"/>
    <x v="60"/>
  </r>
  <r>
    <n v="266"/>
    <d v="2024-12-10T00:00:00"/>
    <s v="NEDUMANGAD"/>
    <x v="10"/>
    <n v="25"/>
    <n v="0"/>
    <n v="0"/>
    <n v="38600"/>
    <x v="3"/>
    <x v="10"/>
  </r>
  <r>
    <n v="267"/>
    <d v="2024-12-10T00:00:00"/>
    <s v="ALAMCODE"/>
    <x v="11"/>
    <n v="30"/>
    <n v="0"/>
    <n v="0"/>
    <n v="51300"/>
    <x v="3"/>
    <x v="11"/>
  </r>
  <r>
    <n v="268"/>
    <d v="2024-12-10T00:00:00"/>
    <s v="VENJARAMOODU"/>
    <x v="15"/>
    <n v="30"/>
    <n v="0"/>
    <n v="0"/>
    <n v="52700"/>
    <x v="3"/>
    <x v="15"/>
  </r>
  <r>
    <n v="269"/>
    <d v="2024-12-10T00:00:00"/>
    <s v="PALLAM"/>
    <x v="29"/>
    <n v="42"/>
    <n v="0"/>
    <n v="0"/>
    <n v="67800"/>
    <x v="3"/>
    <x v="29"/>
  </r>
  <r>
    <n v="270"/>
    <d v="2024-12-10T00:00:00"/>
    <s v="PANCHAMOODU"/>
    <x v="28"/>
    <n v="10"/>
    <n v="0"/>
    <n v="0"/>
    <n v="15500"/>
    <x v="3"/>
    <x v="28"/>
  </r>
  <r>
    <n v="271"/>
    <d v="2024-12-10T00:00:00"/>
    <s v="KALIYAKKAVILAI"/>
    <x v="54"/>
    <n v="38"/>
    <n v="0"/>
    <n v="0"/>
    <n v="62300"/>
    <x v="3"/>
    <x v="53"/>
  </r>
  <r>
    <n v="272"/>
    <d v="2024-12-10T00:00:00"/>
    <s v="VENJARAMOODU"/>
    <x v="63"/>
    <n v="30"/>
    <n v="0"/>
    <n v="0"/>
    <n v="45400"/>
    <x v="3"/>
    <x v="61"/>
  </r>
  <r>
    <n v="273"/>
    <d v="2024-12-10T00:00:00"/>
    <s v="KUNNAKOLAM"/>
    <x v="23"/>
    <n v="17"/>
    <n v="0"/>
    <n v="0"/>
    <n v="103420"/>
    <x v="3"/>
    <x v="23"/>
  </r>
  <r>
    <n v="274"/>
    <d v="2024-12-10T00:00:00"/>
    <s v="THALASSERY "/>
    <x v="39"/>
    <n v="10"/>
    <n v="0"/>
    <n v="0"/>
    <n v="107300"/>
    <x v="3"/>
    <x v="39"/>
  </r>
  <r>
    <n v="275"/>
    <d v="2024-12-10T00:00:00"/>
    <s v="YETMANUR"/>
    <x v="4"/>
    <n v="41"/>
    <n v="0"/>
    <n v="0"/>
    <n v="114300"/>
    <x v="3"/>
    <x v="4"/>
  </r>
  <r>
    <n v="276"/>
    <d v="2024-12-11T00:00:00"/>
    <s v="TRIVENDRUM DATE NOT CLEAR"/>
    <x v="56"/>
    <n v="37"/>
    <n v="2000"/>
    <n v="6"/>
    <n v="54060"/>
    <x v="3"/>
    <x v="55"/>
  </r>
  <r>
    <n v="277"/>
    <d v="2024-12-11T00:00:00"/>
    <s v="TRIVENDRUM"/>
    <x v="64"/>
    <n v="17"/>
    <n v="0"/>
    <n v="0"/>
    <n v="32820"/>
    <x v="3"/>
    <x v="62"/>
  </r>
  <r>
    <n v="278"/>
    <d v="2024-12-11T00:00:00"/>
    <s v="PALLAM"/>
    <x v="65"/>
    <n v="8"/>
    <n v="0"/>
    <n v="0"/>
    <n v="6050"/>
    <x v="3"/>
    <x v="63"/>
  </r>
  <r>
    <n v="279"/>
    <d v="2024-12-11T00:00:00"/>
    <s v="PALLAM"/>
    <x v="29"/>
    <n v="43"/>
    <n v="0"/>
    <n v="0"/>
    <n v="69100"/>
    <x v="3"/>
    <x v="29"/>
  </r>
  <r>
    <n v="280"/>
    <d v="2024-12-11T00:00:00"/>
    <s v="ARYANADU"/>
    <x v="26"/>
    <n v="4"/>
    <n v="0"/>
    <n v="0"/>
    <n v="6100"/>
    <x v="3"/>
    <x v="26"/>
  </r>
  <r>
    <n v="281"/>
    <d v="2024-12-11T00:00:00"/>
    <s v="NEDUMANGAD"/>
    <x v="10"/>
    <n v="40"/>
    <n v="0"/>
    <n v="0"/>
    <n v="68800"/>
    <x v="3"/>
    <x v="10"/>
  </r>
  <r>
    <n v="282"/>
    <d v="2024-12-11T00:00:00"/>
    <s v="TRIVANDRUM"/>
    <x v="56"/>
    <n v="44"/>
    <n v="2000"/>
    <n v="7"/>
    <n v="71900"/>
    <x v="3"/>
    <x v="55"/>
  </r>
  <r>
    <n v="283"/>
    <d v="2024-12-14T00:00:00"/>
    <s v="KALAMUKKU "/>
    <x v="55"/>
    <n v="32"/>
    <n v="0"/>
    <n v="0"/>
    <n v="114400"/>
    <x v="3"/>
    <x v="54"/>
  </r>
  <r>
    <n v="284"/>
    <d v="2024-12-14T00:00:00"/>
    <s v="THIROOR"/>
    <x v="34"/>
    <n v="15"/>
    <n v="0"/>
    <n v="0"/>
    <n v="15220"/>
    <x v="3"/>
    <x v="34"/>
  </r>
  <r>
    <n v="285"/>
    <d v="2024-12-15T00:00:00"/>
    <s v="THODUPUZHA"/>
    <x v="48"/>
    <n v="81"/>
    <n v="0"/>
    <n v="0"/>
    <n v="241800"/>
    <x v="3"/>
    <x v="48"/>
  </r>
  <r>
    <n v="286"/>
    <d v="2024-12-15T00:00:00"/>
    <s v="YETMANUR"/>
    <x v="4"/>
    <n v="10"/>
    <n v="0"/>
    <n v="0"/>
    <n v="33000"/>
    <x v="3"/>
    <x v="4"/>
  </r>
  <r>
    <n v="287"/>
    <d v="2024-12-16T00:00:00"/>
    <s v="TRIVANDRUM"/>
    <x v="57"/>
    <n v="54"/>
    <n v="2000"/>
    <n v="9"/>
    <n v="100240"/>
    <x v="3"/>
    <x v="56"/>
  </r>
  <r>
    <n v="288"/>
    <d v="2024-12-17T00:00:00"/>
    <s v="KARUVATTA"/>
    <x v="1"/>
    <n v="61"/>
    <n v="0"/>
    <n v="0"/>
    <n v="139900"/>
    <x v="3"/>
    <x v="1"/>
  </r>
  <r>
    <n v="289"/>
    <d v="2024-12-17T00:00:00"/>
    <s v="CHAKKUWALLI"/>
    <x v="7"/>
    <n v="60"/>
    <n v="0"/>
    <n v="0"/>
    <n v="115000"/>
    <x v="3"/>
    <x v="7"/>
  </r>
  <r>
    <n v="290"/>
    <d v="2024-12-18T00:00:00"/>
    <s v="KARUVATTA"/>
    <x v="1"/>
    <n v="4"/>
    <n v="0"/>
    <n v="0"/>
    <n v="6700"/>
    <x v="3"/>
    <x v="1"/>
  </r>
  <r>
    <n v="291"/>
    <d v="2024-12-18T00:00:00"/>
    <s v="HARI-PADU"/>
    <x v="40"/>
    <n v="6"/>
    <n v="0"/>
    <n v="0"/>
    <n v="10000"/>
    <x v="3"/>
    <x v="40"/>
  </r>
  <r>
    <n v="292"/>
    <d v="2024-12-18T00:00:00"/>
    <s v="KAYAMKULAM"/>
    <x v="61"/>
    <n v="48"/>
    <n v="0"/>
    <n v="0"/>
    <n v="88400"/>
    <x v="3"/>
    <x v="59"/>
  </r>
  <r>
    <n v="293"/>
    <d v="2024-12-18T00:00:00"/>
    <s v="E-PODUMON"/>
    <x v="16"/>
    <n v="16"/>
    <n v="5000"/>
    <n v="36"/>
    <n v="27800"/>
    <x v="3"/>
    <x v="16"/>
  </r>
  <r>
    <n v="294"/>
    <d v="2024-12-18T00:00:00"/>
    <s v="KAYAMKULAM OWN"/>
    <x v="61"/>
    <n v="1"/>
    <n v="0"/>
    <n v="0"/>
    <n v="2000"/>
    <x v="3"/>
    <x v="5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n v="1"/>
    <n v="201"/>
    <x v="0"/>
    <d v="2024-09-10T00:00:00"/>
    <n v="1"/>
    <n v="240"/>
    <s v="MATCHING TOTAL BOX"/>
    <n v="411300"/>
    <n v="124500"/>
    <n v="4000"/>
    <x v="0"/>
    <x v="0"/>
  </r>
  <r>
    <n v="2"/>
    <n v="202"/>
    <x v="1"/>
    <d v="2024-09-11T00:00:00"/>
    <n v="2"/>
    <n v="200"/>
    <s v="MATCHING TOTAL BOX"/>
    <n v="359400"/>
    <n v="99600"/>
    <n v="4000"/>
    <x v="1"/>
    <x v="0"/>
  </r>
  <r>
    <n v="3"/>
    <n v="101"/>
    <x v="2"/>
    <d v="2024-09-16T00:00:00"/>
    <n v="1"/>
    <n v="204"/>
    <s v="MATCHING TOTAL BOX"/>
    <n v="264515"/>
    <n v="126950"/>
    <n v="4000"/>
    <x v="2"/>
    <x v="0"/>
  </r>
  <r>
    <n v="4"/>
    <n v="203"/>
    <x v="3"/>
    <d v="2024-09-16T00:00:00"/>
    <n v="3"/>
    <n v="200"/>
    <s v="MATCHING TOTAL BOX"/>
    <n v="306170"/>
    <n v="117400"/>
    <n v="4000"/>
    <x v="3"/>
    <x v="0"/>
  </r>
  <r>
    <n v="5"/>
    <n v="204"/>
    <x v="4"/>
    <d v="2024-09-18T00:00:00"/>
    <n v="4"/>
    <n v="198"/>
    <s v="MATCHING TOTAL BOX"/>
    <n v="205170"/>
    <n v="119450"/>
    <n v="4000"/>
    <x v="4"/>
    <x v="0"/>
  </r>
  <r>
    <n v="6"/>
    <n v="205"/>
    <x v="0"/>
    <d v="2024-09-20T00:00:00"/>
    <n v="5"/>
    <n v="210"/>
    <s v="MATCHING TOTAL BOX"/>
    <n v="276000"/>
    <n v="124500"/>
    <n v="4000"/>
    <x v="0"/>
    <x v="0"/>
  </r>
  <r>
    <n v="7"/>
    <n v="206"/>
    <x v="5"/>
    <d v="2024-09-22T00:00:00"/>
    <n v="6"/>
    <n v="200"/>
    <s v="MATCHING TOTAL BOX"/>
    <n v="233400"/>
    <n v="92780"/>
    <n v="4000"/>
    <x v="5"/>
    <x v="0"/>
  </r>
  <r>
    <n v="8"/>
    <n v="207"/>
    <x v="6"/>
    <d v="2024-09-23T00:00:00"/>
    <n v="7"/>
    <n v="197"/>
    <s v="MATCHING TOTAL BOX"/>
    <n v="322970"/>
    <n v="105600"/>
    <n v="4000"/>
    <x v="6"/>
    <x v="0"/>
  </r>
  <r>
    <n v="9"/>
    <n v="208"/>
    <x v="2"/>
    <d v="2024-09-24T00:00:00"/>
    <n v="8"/>
    <n v="228"/>
    <s v="MATCHING TOTAL BOX"/>
    <n v="464300"/>
    <n v="121800"/>
    <n v="4000"/>
    <x v="2"/>
    <x v="0"/>
  </r>
  <r>
    <n v="10"/>
    <n v="209"/>
    <x v="7"/>
    <d v="2024-09-29T00:00:00"/>
    <n v="9"/>
    <n v="198"/>
    <s v="MATCHING TOTAL BOX"/>
    <n v="204200"/>
    <n v="111300"/>
    <n v="4000"/>
    <x v="7"/>
    <x v="0"/>
  </r>
  <r>
    <n v="11"/>
    <n v="210"/>
    <x v="0"/>
    <d v="2024-09-30T00:00:00"/>
    <n v="10"/>
    <n v="230"/>
    <s v="MATCHING TOTAL BOX"/>
    <n v="307800"/>
    <n v="113400"/>
    <n v="4000"/>
    <x v="0"/>
    <x v="0"/>
  </r>
  <r>
    <n v="12"/>
    <n v="211"/>
    <x v="3"/>
    <d v="2024-10-03T00:00:00"/>
    <n v="11"/>
    <n v="200"/>
    <s v="MATCHING TOTAL BOX"/>
    <n v="296400"/>
    <n v="109200"/>
    <n v="4000"/>
    <x v="3"/>
    <x v="1"/>
  </r>
  <r>
    <n v="13"/>
    <n v="212"/>
    <x v="5"/>
    <d v="2024-10-04T00:00:00"/>
    <n v="12"/>
    <n v="200"/>
    <s v="MATCHING TOTAL BOX"/>
    <n v="219300"/>
    <n v="113400"/>
    <n v="4000"/>
    <x v="5"/>
    <x v="1"/>
  </r>
  <r>
    <n v="14"/>
    <n v="213"/>
    <x v="8"/>
    <d v="2024-10-10T00:00:00"/>
    <n v="13"/>
    <n v="206"/>
    <s v="MATCHING TOTAL BOX"/>
    <n v="724450"/>
    <n v="105000"/>
    <n v="4000"/>
    <x v="4"/>
    <x v="1"/>
  </r>
  <r>
    <n v="15"/>
    <n v="214"/>
    <x v="9"/>
    <d v="2024-10-14T00:00:00"/>
    <n v="14"/>
    <n v="200"/>
    <s v="MATCHING TOTAL BOX"/>
    <n v="294400"/>
    <n v="109200"/>
    <n v="4000"/>
    <x v="8"/>
    <x v="1"/>
  </r>
  <r>
    <n v="16"/>
    <n v="215"/>
    <x v="10"/>
    <d v="2024-10-18T00:00:00"/>
    <n v="15"/>
    <n v="200"/>
    <s v="MATCHING TOTAL BOX"/>
    <n v="493800"/>
    <n v="113570"/>
    <n v="4000"/>
    <x v="5"/>
    <x v="1"/>
  </r>
  <r>
    <n v="17"/>
    <n v="216"/>
    <x v="11"/>
    <d v="2024-10-22T00:00:00"/>
    <n v="16"/>
    <n v="227"/>
    <s v="MATCHING TOTAL BOX"/>
    <n v="437200"/>
    <n v="109200"/>
    <n v="4000"/>
    <x v="2"/>
    <x v="1"/>
  </r>
  <r>
    <n v="18"/>
    <n v="218"/>
    <x v="12"/>
    <d v="2024-10-30T00:00:00"/>
    <n v="18"/>
    <n v="200"/>
    <s v="MATCHING TOTAL BOX"/>
    <n v="443200"/>
    <n v="109200"/>
    <n v="4000"/>
    <x v="6"/>
    <x v="1"/>
  </r>
  <r>
    <n v="19"/>
    <n v="103"/>
    <x v="11"/>
    <d v="2024-11-02T00:00:00"/>
    <n v="3"/>
    <n v="200"/>
    <s v="NOT MATCHING "/>
    <n v="309888"/>
    <n v="148722"/>
    <n v="4000"/>
    <x v="2"/>
    <x v="2"/>
  </r>
  <r>
    <n v="20"/>
    <n v="219"/>
    <x v="13"/>
    <d v="2024-11-06T00:00:00"/>
    <n v="19"/>
    <n v="209"/>
    <s v="MATCHING TOTAL BOX"/>
    <n v="320370"/>
    <n v="109200"/>
    <n v="4000"/>
    <x v="0"/>
    <x v="2"/>
  </r>
  <r>
    <n v="21"/>
    <n v="220"/>
    <x v="10"/>
    <d v="2024-11-08T00:00:00"/>
    <n v="20"/>
    <n v="171"/>
    <s v="MATCHING TOTAL BOX"/>
    <n v="268200"/>
    <n v="102771"/>
    <n v="4000"/>
    <x v="5"/>
    <x v="2"/>
  </r>
  <r>
    <n v="22"/>
    <n v="221"/>
    <x v="3"/>
    <d v="2024-11-09T00:00:00"/>
    <n v="21"/>
    <n v="198"/>
    <s v="MATCHING TOTAL BOX"/>
    <n v="279600"/>
    <n v="117810"/>
    <n v="4000"/>
    <x v="3"/>
    <x v="2"/>
  </r>
  <r>
    <n v="23"/>
    <n v="222"/>
    <x v="14"/>
    <d v="2024-11-12T00:00:00"/>
    <n v="22"/>
    <n v="200"/>
    <s v="MATCHING TOTAL BOX"/>
    <n v="363400"/>
    <n v="117978"/>
    <n v="4000"/>
    <x v="9"/>
    <x v="2"/>
  </r>
  <r>
    <n v="24"/>
    <n v="223"/>
    <x v="12"/>
    <d v="2024-11-14T00:00:00"/>
    <n v="23"/>
    <n v="199"/>
    <s v="MATCHING TOTAL BOX"/>
    <n v="274350"/>
    <n v="123000"/>
    <n v="4000"/>
    <x v="6"/>
    <x v="2"/>
  </r>
  <r>
    <n v="25"/>
    <n v="224"/>
    <x v="15"/>
    <d v="2024-11-14T00:00:00"/>
    <n v="24"/>
    <n v="240"/>
    <s v="MATCHING TOTAL BOX"/>
    <n v="182900"/>
    <n v="119070"/>
    <n v="4000"/>
    <x v="2"/>
    <x v="2"/>
  </r>
  <r>
    <n v="26"/>
    <n v="225"/>
    <x v="16"/>
    <d v="2024-11-16T00:00:00"/>
    <n v="25"/>
    <n v="200"/>
    <s v="MATCHING TOTAL BOX"/>
    <n v="433575"/>
    <n v="80472"/>
    <n v="4000"/>
    <x v="10"/>
    <x v="2"/>
  </r>
  <r>
    <n v="27"/>
    <n v="226"/>
    <x v="13"/>
    <d v="2024-11-17T00:00:00"/>
    <n v="26"/>
    <n v="232"/>
    <s v="MATCHING TOTAL BOX"/>
    <n v="183800"/>
    <n v="109200"/>
    <n v="4000"/>
    <x v="0"/>
    <x v="2"/>
  </r>
  <r>
    <n v="28"/>
    <n v="228"/>
    <x v="10"/>
    <d v="2024-11-21T00:00:00"/>
    <n v="28"/>
    <n v="200"/>
    <s v="MATCHING TOTAL BOX"/>
    <n v="138600"/>
    <n v="119616"/>
    <n v="4000"/>
    <x v="5"/>
    <x v="2"/>
  </r>
  <r>
    <n v="29"/>
    <n v="229"/>
    <x v="11"/>
    <d v="2024-11-25T00:00:00"/>
    <n v="29"/>
    <n v="234"/>
    <s v="MATCHING TOTAL BOX"/>
    <n v="189450"/>
    <n v="115752"/>
    <n v="4000"/>
    <x v="2"/>
    <x v="2"/>
  </r>
  <r>
    <n v="30"/>
    <n v="230"/>
    <x v="14"/>
    <d v="2024-11-27T00:00:00"/>
    <n v="30"/>
    <n v="199"/>
    <s v="MATCHING TOTAL BOX"/>
    <n v="204300"/>
    <n v="117222"/>
    <n v="4000"/>
    <x v="9"/>
    <x v="2"/>
  </r>
  <r>
    <n v="31"/>
    <n v="231"/>
    <x v="13"/>
    <d v="2024-11-27T00:00:00"/>
    <n v="31"/>
    <n v="226"/>
    <s v="MATCHING TOTAL BOX"/>
    <n v="221500"/>
    <n v="118944"/>
    <n v="4000"/>
    <x v="0"/>
    <x v="2"/>
  </r>
  <r>
    <n v="32"/>
    <n v="232"/>
    <x v="16"/>
    <d v="2024-11-28T00:00:00"/>
    <n v="32"/>
    <n v="200"/>
    <s v="MATCHING TOTAL BOX"/>
    <n v="138500"/>
    <n v="113400"/>
    <n v="4000"/>
    <x v="10"/>
    <x v="2"/>
  </r>
  <r>
    <n v="33"/>
    <n v="233"/>
    <x v="3"/>
    <d v="2024-11-30T00:00:00"/>
    <n v="33"/>
    <n v="200"/>
    <s v="MATCHING TOTAL BOX"/>
    <n v="159750"/>
    <n v="111552"/>
    <n v="4000"/>
    <x v="3"/>
    <x v="2"/>
  </r>
  <r>
    <n v="34"/>
    <n v="234"/>
    <x v="12"/>
    <d v="2024-12-02T00:00:00"/>
    <n v="34"/>
    <n v="200"/>
    <s v="MATCHING TOTAL BOX"/>
    <n v="145800"/>
    <n v="115332"/>
    <n v="4000"/>
    <x v="6"/>
    <x v="3"/>
  </r>
  <r>
    <n v="35"/>
    <n v="235"/>
    <x v="11"/>
    <d v="2024-12-03T00:00:00"/>
    <n v="35"/>
    <n v="199"/>
    <s v="MATCHING TOTAL BOX"/>
    <n v="589300"/>
    <n v="92400"/>
    <n v="4000"/>
    <x v="2"/>
    <x v="3"/>
  </r>
  <r>
    <n v="36"/>
    <n v="236"/>
    <x v="8"/>
    <d v="2024-12-04T00:00:00"/>
    <n v="36"/>
    <n v="227"/>
    <s v="MATCHING TOTAL BOX"/>
    <n v="219200"/>
    <n v="116256"/>
    <n v="4000"/>
    <x v="4"/>
    <x v="3"/>
  </r>
  <r>
    <n v="37"/>
    <n v="237"/>
    <x v="13"/>
    <d v="2024-12-05T00:00:00"/>
    <n v="37"/>
    <n v="240"/>
    <s v="MATCHING TOTAL BOX"/>
    <n v="389100"/>
    <n v="132972"/>
    <n v="4000"/>
    <x v="0"/>
    <x v="3"/>
  </r>
  <r>
    <n v="38"/>
    <n v="238"/>
    <x v="17"/>
    <d v="2024-12-07T00:00:00"/>
    <n v="38"/>
    <n v="200"/>
    <s v="NOT MATCHING "/>
    <n v="238200"/>
    <n v="111468"/>
    <n v="4000"/>
    <x v="11"/>
    <x v="3"/>
  </r>
  <r>
    <n v="39"/>
    <n v="239"/>
    <x v="14"/>
    <d v="2024-12-08T00:00:00"/>
    <n v="39"/>
    <n v="199"/>
    <s v="MATCHING TOTAL BOX"/>
    <n v="428700"/>
    <n v="113750"/>
    <n v="4000"/>
    <x v="9"/>
    <x v="3"/>
  </r>
  <r>
    <n v="40"/>
    <n v="240"/>
    <x v="5"/>
    <d v="2024-12-12T00:00:00"/>
    <n v="240"/>
    <n v="192"/>
    <s v="MATCHING TOTAL BOX"/>
    <n v="410370"/>
    <n v="121128"/>
    <n v="4000"/>
    <x v="5"/>
    <x v="3"/>
  </r>
  <r>
    <n v="41"/>
    <n v="104"/>
    <x v="18"/>
    <d v="2024-12-15T00:00:00"/>
    <n v="4"/>
    <n v="196"/>
    <s v="MATCHING TOTAL BOX"/>
    <n v="247949"/>
    <n v="121800"/>
    <n v="4000"/>
    <x v="1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ECDBF8-CFBF-49C6-A993-7D830E63DF8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B11:C22" firstHeaderRow="1" firstDataRow="1" firstDataCol="1"/>
  <pivotFields count="10">
    <pivotField showAll="0"/>
    <pivotField numFmtId="14" showAll="0"/>
    <pivotField showAll="0"/>
    <pivotField showAll="0"/>
    <pivotField showAll="0"/>
    <pivotField showAll="0"/>
    <pivotField showAll="0"/>
    <pivotField dataField="1" showAll="0"/>
    <pivotField showAll="0">
      <items count="5">
        <item x="0"/>
        <item x="1"/>
        <item x="2"/>
        <item x="3"/>
        <item t="default"/>
      </items>
    </pivotField>
    <pivotField axis="axisRow" showAll="0" measureFilter="1" sortType="descending">
      <items count="65">
        <item x="55"/>
        <item x="60"/>
        <item x="3"/>
        <item x="12"/>
        <item x="25"/>
        <item x="43"/>
        <item x="2"/>
        <item x="20"/>
        <item x="36"/>
        <item x="14"/>
        <item x="11"/>
        <item x="1"/>
        <item x="41"/>
        <item x="4"/>
        <item x="16"/>
        <item x="13"/>
        <item x="37"/>
        <item x="56"/>
        <item x="9"/>
        <item x="32"/>
        <item x="46"/>
        <item x="44"/>
        <item x="38"/>
        <item x="59"/>
        <item x="53"/>
        <item x="18"/>
        <item x="33"/>
        <item x="40"/>
        <item x="48"/>
        <item x="31"/>
        <item x="58"/>
        <item x="51"/>
        <item x="29"/>
        <item x="17"/>
        <item x="61"/>
        <item x="39"/>
        <item x="19"/>
        <item x="6"/>
        <item x="47"/>
        <item x="24"/>
        <item x="45"/>
        <item x="30"/>
        <item x="27"/>
        <item x="23"/>
        <item x="22"/>
        <item x="21"/>
        <item x="5"/>
        <item x="35"/>
        <item x="52"/>
        <item x="28"/>
        <item x="57"/>
        <item x="10"/>
        <item x="42"/>
        <item x="63"/>
        <item x="62"/>
        <item x="50"/>
        <item x="49"/>
        <item x="26"/>
        <item x="34"/>
        <item x="7"/>
        <item x="54"/>
        <item x="15"/>
        <item x="0"/>
        <item x="8"/>
        <item t="default"/>
      </items>
      <autoSortScope>
        <pivotArea dataOnly="0" outline="0" fieldPosition="0">
          <references count="1">
            <reference field="4294967294" count="1" selected="0">
              <x v="0"/>
            </reference>
          </references>
        </pivotArea>
      </autoSortScope>
    </pivotField>
  </pivotFields>
  <rowFields count="1">
    <field x="9"/>
  </rowFields>
  <rowItems count="11">
    <i>
      <x v="32"/>
    </i>
    <i>
      <x v="49"/>
    </i>
    <i>
      <x v="6"/>
    </i>
    <i>
      <x v="57"/>
    </i>
    <i>
      <x v="61"/>
    </i>
    <i>
      <x v="10"/>
    </i>
    <i>
      <x v="13"/>
    </i>
    <i>
      <x v="35"/>
    </i>
    <i>
      <x v="51"/>
    </i>
    <i>
      <x v="28"/>
    </i>
    <i t="grand">
      <x/>
    </i>
  </rowItems>
  <colItems count="1">
    <i/>
  </colItems>
  <dataFields count="1">
    <dataField name="Sum of AMOUNT" fld="7" baseField="0" baseItem="0"/>
  </dataField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0E60C5-67A8-422E-9459-D87E980206C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8" firstHeaderRow="1" firstDataRow="1" firstDataCol="1"/>
  <pivotFields count="10">
    <pivotField showAll="0"/>
    <pivotField numFmtId="14" showAll="0"/>
    <pivotField showAll="0"/>
    <pivotField showAll="0"/>
    <pivotField showAll="0"/>
    <pivotField showAll="0"/>
    <pivotField showAll="0"/>
    <pivotField dataField="1" showAll="0"/>
    <pivotField axis="axisRow" showAll="0">
      <items count="5">
        <item x="0"/>
        <item x="1"/>
        <item x="2"/>
        <item x="3"/>
        <item t="default"/>
      </items>
    </pivotField>
    <pivotField showAll="0"/>
  </pivotFields>
  <rowFields count="1">
    <field x="8"/>
  </rowFields>
  <rowItems count="5">
    <i>
      <x/>
    </i>
    <i>
      <x v="1"/>
    </i>
    <i>
      <x v="2"/>
    </i>
    <i>
      <x v="3"/>
    </i>
    <i t="grand">
      <x/>
    </i>
  </rowItems>
  <colItems count="1">
    <i/>
  </colItems>
  <dataFields count="1">
    <dataField name="Sum of AMOUNT" fld="7"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53E1A2-9DFB-4D90-A71E-549B0360A7A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B46:C50" firstHeaderRow="1" firstDataRow="1" firstDataCol="1"/>
  <pivotFields count="10">
    <pivotField showAll="0"/>
    <pivotField numFmtId="14" showAll="0"/>
    <pivotField showAll="0"/>
    <pivotField showAll="0">
      <items count="67">
        <item x="53"/>
        <item x="56"/>
        <item x="62"/>
        <item x="3"/>
        <item x="12"/>
        <item x="25"/>
        <item x="43"/>
        <item x="2"/>
        <item x="20"/>
        <item x="36"/>
        <item x="14"/>
        <item x="11"/>
        <item x="1"/>
        <item x="41"/>
        <item x="4"/>
        <item x="16"/>
        <item x="13"/>
        <item x="37"/>
        <item x="57"/>
        <item x="9"/>
        <item x="32"/>
        <item x="46"/>
        <item x="44"/>
        <item x="38"/>
        <item x="61"/>
        <item x="54"/>
        <item x="18"/>
        <item x="33"/>
        <item x="40"/>
        <item x="48"/>
        <item x="31"/>
        <item x="60"/>
        <item x="51"/>
        <item x="29"/>
        <item x="58"/>
        <item x="17"/>
        <item x="63"/>
        <item x="39"/>
        <item x="19"/>
        <item x="6"/>
        <item x="47"/>
        <item x="24"/>
        <item x="45"/>
        <item x="30"/>
        <item x="27"/>
        <item x="23"/>
        <item x="22"/>
        <item x="21"/>
        <item x="5"/>
        <item x="35"/>
        <item x="52"/>
        <item x="28"/>
        <item x="59"/>
        <item x="10"/>
        <item x="42"/>
        <item x="65"/>
        <item x="64"/>
        <item x="50"/>
        <item x="49"/>
        <item x="26"/>
        <item x="34"/>
        <item x="7"/>
        <item x="55"/>
        <item x="15"/>
        <item x="0"/>
        <item x="8"/>
        <item t="default"/>
      </items>
    </pivotField>
    <pivotField dataField="1" showAll="0"/>
    <pivotField showAll="0"/>
    <pivotField showAll="0"/>
    <pivotField showAll="0"/>
    <pivotField showAll="0">
      <items count="5">
        <item x="0"/>
        <item x="1"/>
        <item x="2"/>
        <item x="3"/>
        <item t="default"/>
      </items>
    </pivotField>
    <pivotField axis="axisRow" showAll="0" measureFilter="1" sortType="descending">
      <items count="65">
        <item x="8"/>
        <item x="0"/>
        <item x="15"/>
        <item x="54"/>
        <item x="7"/>
        <item x="34"/>
        <item x="26"/>
        <item x="49"/>
        <item x="50"/>
        <item x="62"/>
        <item x="63"/>
        <item x="42"/>
        <item x="10"/>
        <item x="57"/>
        <item x="28"/>
        <item x="52"/>
        <item x="35"/>
        <item x="5"/>
        <item x="21"/>
        <item x="22"/>
        <item x="23"/>
        <item x="27"/>
        <item x="30"/>
        <item x="45"/>
        <item x="24"/>
        <item x="47"/>
        <item x="6"/>
        <item x="19"/>
        <item x="39"/>
        <item x="61"/>
        <item x="17"/>
        <item x="29"/>
        <item x="51"/>
        <item x="58"/>
        <item x="31"/>
        <item x="48"/>
        <item x="40"/>
        <item x="33"/>
        <item x="18"/>
        <item x="53"/>
        <item x="59"/>
        <item x="38"/>
        <item x="44"/>
        <item x="46"/>
        <item x="32"/>
        <item x="9"/>
        <item x="56"/>
        <item x="37"/>
        <item x="13"/>
        <item x="16"/>
        <item x="4"/>
        <item x="41"/>
        <item x="1"/>
        <item x="11"/>
        <item x="14"/>
        <item x="36"/>
        <item x="20"/>
        <item x="2"/>
        <item x="43"/>
        <item x="25"/>
        <item x="12"/>
        <item x="3"/>
        <item x="60"/>
        <item x="55"/>
        <item t="default"/>
      </items>
      <autoSortScope>
        <pivotArea dataOnly="0" outline="0" fieldPosition="0">
          <references count="1">
            <reference field="4294967294" count="1" selected="0">
              <x v="0"/>
            </reference>
          </references>
        </pivotArea>
      </autoSortScope>
    </pivotField>
  </pivotFields>
  <rowFields count="1">
    <field x="9"/>
  </rowFields>
  <rowItems count="4">
    <i>
      <x v="31"/>
    </i>
    <i>
      <x v="14"/>
    </i>
    <i>
      <x v="2"/>
    </i>
    <i t="grand">
      <x/>
    </i>
  </rowItems>
  <colItems count="1">
    <i/>
  </colItems>
  <dataFields count="1">
    <dataField name="Sum of BOX" fld="4" baseField="0" baseItem="0"/>
  </dataFields>
  <chartFormats count="1">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4"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D4511F-A575-4941-B6A9-007C87A5BD2A}"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B28:C37" firstHeaderRow="1" firstDataRow="1" firstDataCol="1"/>
  <pivotFields count="10">
    <pivotField showAll="0"/>
    <pivotField numFmtId="14" showAll="0"/>
    <pivotField showAll="0"/>
    <pivotField showAll="0"/>
    <pivotField showAll="0"/>
    <pivotField dataField="1" showAll="0"/>
    <pivotField showAll="0"/>
    <pivotField showAll="0"/>
    <pivotField showAll="0">
      <items count="5">
        <item x="0"/>
        <item x="1"/>
        <item x="2"/>
        <item x="3"/>
        <item t="default"/>
      </items>
    </pivotField>
    <pivotField axis="axisRow" showAll="0" measureFilter="1" sortType="descending">
      <items count="65">
        <item x="8"/>
        <item x="0"/>
        <item x="15"/>
        <item x="54"/>
        <item x="7"/>
        <item x="34"/>
        <item x="26"/>
        <item x="49"/>
        <item x="50"/>
        <item x="62"/>
        <item x="63"/>
        <item x="42"/>
        <item x="10"/>
        <item x="57"/>
        <item x="28"/>
        <item x="52"/>
        <item x="35"/>
        <item x="5"/>
        <item x="21"/>
        <item x="22"/>
        <item x="23"/>
        <item x="27"/>
        <item x="30"/>
        <item x="45"/>
        <item x="24"/>
        <item x="47"/>
        <item x="6"/>
        <item x="19"/>
        <item x="39"/>
        <item x="61"/>
        <item x="17"/>
        <item x="29"/>
        <item x="51"/>
        <item x="58"/>
        <item x="31"/>
        <item x="48"/>
        <item x="40"/>
        <item x="33"/>
        <item x="18"/>
        <item x="53"/>
        <item x="59"/>
        <item x="38"/>
        <item x="44"/>
        <item x="46"/>
        <item x="32"/>
        <item x="9"/>
        <item x="56"/>
        <item x="37"/>
        <item x="13"/>
        <item x="16"/>
        <item x="4"/>
        <item x="41"/>
        <item x="1"/>
        <item x="11"/>
        <item x="14"/>
        <item x="36"/>
        <item x="20"/>
        <item x="2"/>
        <item x="43"/>
        <item x="25"/>
        <item x="12"/>
        <item x="3"/>
        <item x="60"/>
        <item x="55"/>
        <item t="default"/>
      </items>
      <autoSortScope>
        <pivotArea dataOnly="0" outline="0" fieldPosition="0">
          <references count="1">
            <reference field="4294967294" count="1" selected="0">
              <x v="0"/>
            </reference>
          </references>
        </pivotArea>
      </autoSortScope>
    </pivotField>
  </pivotFields>
  <rowFields count="1">
    <field x="9"/>
  </rowFields>
  <rowItems count="9">
    <i>
      <x v="12"/>
    </i>
    <i>
      <x v="49"/>
    </i>
    <i>
      <x v="5"/>
    </i>
    <i>
      <x v="17"/>
    </i>
    <i>
      <x v="38"/>
    </i>
    <i>
      <x v="51"/>
    </i>
    <i>
      <x v="63"/>
    </i>
    <i>
      <x v="46"/>
    </i>
    <i t="grand">
      <x/>
    </i>
  </rowItems>
  <colItems count="1">
    <i/>
  </colItems>
  <dataFields count="1">
    <dataField name="Sum of ADVANCE" fld="5" baseField="0" baseItem="0"/>
  </dataFields>
  <chartFormats count="1">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valueGreaterThan" evalOrder="-1" id="2"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9113E72-3AEB-4C46-B51D-BF243BAE660F}"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4:A25" firstHeaderRow="1" firstDataRow="1" firstDataCol="0"/>
  <pivotFields count="12">
    <pivotField showAll="0"/>
    <pivotField showAll="0"/>
    <pivotField showAll="0">
      <items count="20">
        <item x="9"/>
        <item x="3"/>
        <item x="13"/>
        <item x="8"/>
        <item x="11"/>
        <item x="14"/>
        <item x="12"/>
        <item x="10"/>
        <item x="15"/>
        <item x="16"/>
        <item x="17"/>
        <item x="0"/>
        <item x="4"/>
        <item x="2"/>
        <item x="7"/>
        <item x="6"/>
        <item x="1"/>
        <item x="5"/>
        <item x="18"/>
        <item t="default"/>
      </items>
    </pivotField>
    <pivotField numFmtId="14" showAll="0"/>
    <pivotField dataField="1" showAll="0"/>
    <pivotField showAll="0"/>
    <pivotField showAll="0"/>
    <pivotField showAll="0"/>
    <pivotField showAll="0"/>
    <pivotField showAll="0"/>
    <pivotField showAll="0">
      <items count="14">
        <item x="7"/>
        <item x="9"/>
        <item x="2"/>
        <item x="12"/>
        <item x="8"/>
        <item x="4"/>
        <item x="0"/>
        <item x="11"/>
        <item x="10"/>
        <item x="3"/>
        <item x="5"/>
        <item x="1"/>
        <item x="6"/>
        <item t="default"/>
      </items>
    </pivotField>
    <pivotField showAll="0">
      <items count="5">
        <item x="0"/>
        <item x="1"/>
        <item x="2"/>
        <item x="3"/>
        <item t="default"/>
      </items>
    </pivotField>
  </pivotFields>
  <rowItems count="1">
    <i/>
  </rowItems>
  <colItems count="1">
    <i/>
  </colItems>
  <dataFields count="1">
    <dataField name="Count of TRIP NO"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2CE0A0E-55DD-417C-B963-A17892B2472A}"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14:B20" firstHeaderRow="1" firstDataRow="1" firstDataCol="1"/>
  <pivotFields count="12">
    <pivotField showAll="0"/>
    <pivotField showAll="0"/>
    <pivotField showAll="0" measureFilter="1">
      <items count="20">
        <item x="9"/>
        <item x="3"/>
        <item x="13"/>
        <item x="8"/>
        <item x="11"/>
        <item x="14"/>
        <item x="12"/>
        <item x="10"/>
        <item x="15"/>
        <item x="16"/>
        <item x="17"/>
        <item x="0"/>
        <item x="4"/>
        <item x="2"/>
        <item x="7"/>
        <item x="6"/>
        <item x="1"/>
        <item x="5"/>
        <item x="18"/>
        <item t="default"/>
      </items>
    </pivotField>
    <pivotField numFmtId="14" showAll="0"/>
    <pivotField dataField="1" showAll="0"/>
    <pivotField showAll="0"/>
    <pivotField showAll="0"/>
    <pivotField showAll="0"/>
    <pivotField showAll="0"/>
    <pivotField showAll="0"/>
    <pivotField axis="axisRow" showAll="0" measureFilter="1" sortType="descending">
      <items count="14">
        <item x="7"/>
        <item x="9"/>
        <item x="2"/>
        <item x="12"/>
        <item x="8"/>
        <item x="4"/>
        <item x="0"/>
        <item x="11"/>
        <item x="10"/>
        <item x="3"/>
        <item x="5"/>
        <item x="1"/>
        <item x="6"/>
        <item t="default"/>
      </items>
      <autoSortScope>
        <pivotArea dataOnly="0" outline="0" fieldPosition="0">
          <references count="1">
            <reference field="4294967294" count="1" selected="0">
              <x v="0"/>
            </reference>
          </references>
        </pivotArea>
      </autoSortScope>
    </pivotField>
    <pivotField showAll="0">
      <items count="5">
        <item x="0"/>
        <item x="1"/>
        <item x="2"/>
        <item x="3"/>
        <item t="default"/>
      </items>
    </pivotField>
  </pivotFields>
  <rowFields count="1">
    <field x="10"/>
  </rowFields>
  <rowItems count="6">
    <i>
      <x v="2"/>
    </i>
    <i>
      <x v="6"/>
    </i>
    <i>
      <x v="10"/>
    </i>
    <i>
      <x v="12"/>
    </i>
    <i>
      <x v="9"/>
    </i>
    <i t="grand">
      <x/>
    </i>
  </rowItems>
  <colItems count="1">
    <i/>
  </colItems>
  <dataFields count="1">
    <dataField name="Count of TRIP NO" fld="4" subtotal="count" baseField="2" baseItem="0"/>
  </dataFields>
  <chartFormats count="6">
    <chartFormat chart="13" format="11" series="1">
      <pivotArea type="data" outline="0" fieldPosition="0">
        <references count="1">
          <reference field="4294967294" count="1" selected="0">
            <x v="0"/>
          </reference>
        </references>
      </pivotArea>
    </chartFormat>
    <chartFormat chart="13" format="12">
      <pivotArea type="data" outline="0" fieldPosition="0">
        <references count="2">
          <reference field="4294967294" count="1" selected="0">
            <x v="0"/>
          </reference>
          <reference field="10" count="1" selected="0">
            <x v="2"/>
          </reference>
        </references>
      </pivotArea>
    </chartFormat>
    <chartFormat chart="13" format="13">
      <pivotArea type="data" outline="0" fieldPosition="0">
        <references count="2">
          <reference field="4294967294" count="1" selected="0">
            <x v="0"/>
          </reference>
          <reference field="10" count="1" selected="0">
            <x v="6"/>
          </reference>
        </references>
      </pivotArea>
    </chartFormat>
    <chartFormat chart="13" format="14">
      <pivotArea type="data" outline="0" fieldPosition="0">
        <references count="2">
          <reference field="4294967294" count="1" selected="0">
            <x v="0"/>
          </reference>
          <reference field="10" count="1" selected="0">
            <x v="10"/>
          </reference>
        </references>
      </pivotArea>
    </chartFormat>
    <chartFormat chart="13" format="15">
      <pivotArea type="data" outline="0" fieldPosition="0">
        <references count="2">
          <reference field="4294967294" count="1" selected="0">
            <x v="0"/>
          </reference>
          <reference field="10" count="1" selected="0">
            <x v="12"/>
          </reference>
        </references>
      </pivotArea>
    </chartFormat>
    <chartFormat chart="13" format="16">
      <pivotArea type="data" outline="0" fieldPosition="0">
        <references count="2">
          <reference field="4294967294" count="1" selected="0">
            <x v="0"/>
          </reference>
          <reference field="10" count="1" selected="0">
            <x v="9"/>
          </reference>
        </references>
      </pivotArea>
    </chartFormat>
  </chartFormats>
  <pivotTableStyleInfo name="PivotStyleLight16" showRowHeaders="1" showColHeaders="1" showRowStripes="0" showColStripes="0" showLastColumn="1"/>
  <filters count="2">
    <filter fld="2" type="count" evalOrder="-1" id="1" iMeasureFld="0">
      <autoFilter ref="A1">
        <filterColumn colId="0">
          <top10 val="5" filterVal="5"/>
        </filterColumn>
      </autoFilter>
    </filter>
    <filter fld="1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6AC538B-F96F-4657-8944-93341911F115}"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D8" firstHeaderRow="0" firstDataRow="1" firstDataCol="1"/>
  <pivotFields count="12">
    <pivotField showAll="0"/>
    <pivotField showAll="0"/>
    <pivotField showAll="0"/>
    <pivotField numFmtId="14" showAll="0"/>
    <pivotField showAll="0"/>
    <pivotField showAll="0"/>
    <pivotField showAll="0"/>
    <pivotField dataField="1" showAll="0"/>
    <pivotField dataField="1" showAll="0"/>
    <pivotField dataField="1" showAll="0"/>
    <pivotField showAll="0"/>
    <pivotField axis="axisRow" showAll="0">
      <items count="5">
        <item x="0"/>
        <item x="1"/>
        <item x="2"/>
        <item x="3"/>
        <item t="default"/>
      </items>
    </pivotField>
  </pivotFields>
  <rowFields count="1">
    <field x="11"/>
  </rowFields>
  <rowItems count="5">
    <i>
      <x/>
    </i>
    <i>
      <x v="1"/>
    </i>
    <i>
      <x v="2"/>
    </i>
    <i>
      <x v="3"/>
    </i>
    <i t="grand">
      <x/>
    </i>
  </rowItems>
  <colFields count="1">
    <field x="-2"/>
  </colFields>
  <colItems count="3">
    <i>
      <x/>
    </i>
    <i i="1">
      <x v="1"/>
    </i>
    <i i="2">
      <x v="2"/>
    </i>
  </colItems>
  <dataFields count="3">
    <dataField name="Sum of PURCHASE" fld="7" baseField="0" baseItem="0"/>
    <dataField name="Sum of RENT" fld="8" baseField="0" baseItem="0"/>
    <dataField name="Sum of LINE" fld="9" baseField="0" baseItem="0"/>
  </dataFields>
  <chartFormats count="3">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7" xr16:uid="{11300D1F-C128-4BAE-A386-8E53675142AF}" autoFormatId="16" applyNumberFormats="0" applyBorderFormats="0" applyFontFormats="0" applyPatternFormats="0" applyAlignmentFormats="0" applyWidthHeightFormats="0">
  <queryTableRefresh nextId="11" unboundColumnsLeft="1" unboundColumnsRight="2">
    <queryTableFields count="10">
      <queryTableField id="8" dataBound="0" tableColumnId="8"/>
      <queryTableField id="1" name="DATE" tableColumnId="1"/>
      <queryTableField id="2" name="PARTY NAME" tableColumnId="2"/>
      <queryTableField id="3" name="NICK NAME" tableColumnId="3"/>
      <queryTableField id="4" name="BOX" tableColumnId="4"/>
      <queryTableField id="5" name="ADVANCE" tableColumnId="5"/>
      <queryTableField id="6" name="ADV NO" tableColumnId="6"/>
      <queryTableField id="7" name="AMOUNT" tableColumnId="7"/>
      <queryTableField id="9" dataBound="0" tableColumnId="9"/>
      <queryTableField id="10" dataBound="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86" xr16:uid="{477CC148-5C22-4500-8058-784D1201DA82}" autoFormatId="16" applyNumberFormats="0" applyBorderFormats="0" applyFontFormats="0" applyPatternFormats="0" applyAlignmentFormats="0" applyWidthHeightFormats="0">
  <queryTableRefresh nextId="15" unboundColumnsLeft="1" unboundColumnsRight="2">
    <queryTableFields count="12">
      <queryTableField id="12" dataBound="0" tableColumnId="12"/>
      <queryTableField id="1" name="TP NO " tableColumnId="1"/>
      <queryTableField id="2" name="LORRY NO" tableColumnId="2"/>
      <queryTableField id="3" name="TP DATE" tableColumnId="3"/>
      <queryTableField id="4" name="TRIP NO" tableColumnId="4"/>
      <queryTableField id="5" name="TOTAL BOX" tableColumnId="5"/>
      <queryTableField id="6" name="TOTAL BOX MATCHING" tableColumnId="6"/>
      <queryTableField id="7" name="PURCHASE" tableColumnId="7"/>
      <queryTableField id="8" name="RENT" tableColumnId="8"/>
      <queryTableField id="9" name="LINE" tableColumnId="9"/>
      <queryTableField id="13" dataBound="0" tableColumnId="10"/>
      <queryTableField id="14" dataBound="0" tableColumnId="11"/>
    </queryTableFields>
    <queryTableDeletedFields count="2">
      <deletedField name="RENT "/>
      <deletedField name="PURCHASE "/>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62AD7B52-5506-420E-B3B9-12C0BE6F1DEC}" sourceName="Month name">
  <pivotTables>
    <pivotTable tabId="94" name="PivotTable2"/>
    <pivotTable tabId="94" name="PivotTable3"/>
    <pivotTable tabId="94" name="PivotTable4"/>
  </pivotTables>
  <data>
    <tabular pivotCacheId="398211918">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5162BD28-EFED-4FB9-8313-8B85B7A5B8EF}" sourceName="month name">
  <pivotTables>
    <pivotTable tabId="96" name="PivotTable7"/>
    <pivotTable tabId="96" name="PivotTable6"/>
  </pivotTables>
  <data>
    <tabular pivotCacheId="1413951013">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6B304498-92AC-430C-A2B7-CAE7F0E6913F}" cache="Slicer_Month_name" caption="Month name"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AE200EF0-7C44-4DF4-B7D7-58676D4F9A5B}" cache="Slicer_month_name1" caption="month name" style="SlicerStyleOther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5DDD967-A7AD-4CDF-8847-4A8B7950BDC3}" name="RTN_AND_ALIBAG_MARKET_SALES" displayName="RTN_AND_ALIBAG_MARKET_SALES" ref="A1:J295" tableType="queryTable" totalsRowShown="0">
  <autoFilter ref="A1:J295" xr:uid="{D5DDD967-A7AD-4CDF-8847-4A8B7950BDC3}"/>
  <sortState xmlns:xlrd2="http://schemas.microsoft.com/office/spreadsheetml/2017/richdata2" ref="B2:H295">
    <sortCondition ref="B1:B295"/>
  </sortState>
  <tableColumns count="10">
    <tableColumn id="8" xr3:uid="{A16C15C7-1620-4B24-8939-ABA371A0FECD}" uniqueName="8" name="SI no" queryTableFieldId="8" dataDxfId="11"/>
    <tableColumn id="1" xr3:uid="{CC558039-FBDD-4C77-A401-DCA1574F9BBE}" uniqueName="1" name="DATE" queryTableFieldId="1" dataDxfId="10"/>
    <tableColumn id="2" xr3:uid="{42C78A2D-700B-4D6A-965C-68C58ACFE2A8}" uniqueName="2" name="PARTY NAME" queryTableFieldId="2" dataDxfId="9"/>
    <tableColumn id="3" xr3:uid="{8B5893BC-DDCF-4933-9D12-4120BB13A807}" uniqueName="3" name="NICK NAME" queryTableFieldId="3" dataDxfId="8"/>
    <tableColumn id="4" xr3:uid="{C5DB3110-FB28-4343-A0DD-0FBF2FC197A7}" uniqueName="4" name="BOX" queryTableFieldId="4"/>
    <tableColumn id="5" xr3:uid="{FE775580-96C1-40C8-A772-D5C3345BD2A3}" uniqueName="5" name="ADVANCE" queryTableFieldId="5"/>
    <tableColumn id="6" xr3:uid="{D3A92101-1043-49CB-AD08-82AA6AE6AEB5}" uniqueName="6" name="ADV NO" queryTableFieldId="6"/>
    <tableColumn id="7" xr3:uid="{CCCD3D5D-7244-4393-AE0C-1B086238E538}" uniqueName="7" name="AMOUNT" queryTableFieldId="7"/>
    <tableColumn id="9" xr3:uid="{D6B0ED38-421C-451A-B743-FA5BA95D80B9}" uniqueName="9" name="Month name" queryTableFieldId="9" dataDxfId="7">
      <calculatedColumnFormula>TEXT(RTN_AND_ALIBAG_MARKET_SALES[[#This Row],[DATE]],"mmm")</calculatedColumnFormula>
    </tableColumn>
    <tableColumn id="10" xr3:uid="{59555CBC-FFCA-4D13-97A5-EB86B2F3E48C}" uniqueName="10" name="nick name2" queryTableFieldId="10" dataDxfId="6">
      <calculatedColumnFormula>TRIM(RTN_AND_ALIBAG_MARKET_SALES[[#This Row],[NICK NAME]])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2EF5C80-0349-44EE-8B5D-0B261B9CD474}" name="TRIPS" displayName="TRIPS" ref="A1:L42" tableType="queryTable" totalsRowShown="0">
  <autoFilter ref="A1:L42" xr:uid="{62EF5C80-0349-44EE-8B5D-0B261B9CD474}"/>
  <sortState xmlns:xlrd2="http://schemas.microsoft.com/office/spreadsheetml/2017/richdata2" ref="B2:J42">
    <sortCondition ref="D1:D42"/>
  </sortState>
  <tableColumns count="12">
    <tableColumn id="12" xr3:uid="{D3C7871D-C509-4EC6-A1C9-96136DA5C3E5}" uniqueName="12" name="SI NO" queryTableFieldId="12" dataDxfId="5"/>
    <tableColumn id="1" xr3:uid="{E81EFC29-1DA8-48C0-9E77-118B5A91F055}" uniqueName="1" name="TP NO " queryTableFieldId="1"/>
    <tableColumn id="2" xr3:uid="{273568D8-FCA8-4A11-89DA-752AA5F068DD}" uniqueName="2" name="LORRY NO" queryTableFieldId="2" dataDxfId="4"/>
    <tableColumn id="3" xr3:uid="{A2993700-6FA6-4555-A9B3-1603E495E106}" uniqueName="3" name="TP DATE" queryTableFieldId="3" dataDxfId="3"/>
    <tableColumn id="4" xr3:uid="{15BD21A5-E19B-4E31-B035-3714DAD31EA4}" uniqueName="4" name="TRIP NO" queryTableFieldId="4"/>
    <tableColumn id="5" xr3:uid="{CBA24565-E00E-49B0-8F40-E01F62110B6D}" uniqueName="5" name="TOTAL BOX" queryTableFieldId="5"/>
    <tableColumn id="6" xr3:uid="{2387718E-D4C8-45FF-BF0F-5E17E32ED5C0}" uniqueName="6" name="TOTAL BOX MATCHING" queryTableFieldId="6" dataDxfId="2"/>
    <tableColumn id="7" xr3:uid="{ED52F489-2810-4C29-AFAA-C9077B1A9294}" uniqueName="7" name="PURCHASE" queryTableFieldId="7"/>
    <tableColumn id="8" xr3:uid="{6D6C2BE2-1D82-4A40-849B-2C82C95BD84B}" uniqueName="8" name="RENT" queryTableFieldId="8"/>
    <tableColumn id="9" xr3:uid="{672CB1CC-AFD2-45CB-8F70-C27D0D0E62BA}" uniqueName="9" name="LINE" queryTableFieldId="9"/>
    <tableColumn id="10" xr3:uid="{5A5181EE-A319-4FD3-9F81-52710393FAC5}" uniqueName="10" name="Vehicle last no" queryTableFieldId="13" dataDxfId="1">
      <calculatedColumnFormula>RIGHT(TRIPS[[#This Row],[LORRY NO]],4)</calculatedColumnFormula>
    </tableColumn>
    <tableColumn id="11" xr3:uid="{C88B5748-CBAA-4456-8412-DE3B067DF772}" uniqueName="11" name="month name" queryTableFieldId="14" dataDxfId="0">
      <calculatedColumnFormula>TEXT(TRIPS[[#This Row],[TP DATE]],"mmm")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117E2-D22D-4049-B9BD-ACDCD468EDBC}">
  <dimension ref="A3:C50"/>
  <sheetViews>
    <sheetView topLeftCell="A2" workbookViewId="0">
      <selection activeCell="C13" sqref="C13"/>
    </sheetView>
  </sheetViews>
  <sheetFormatPr defaultRowHeight="15" x14ac:dyDescent="0.25"/>
  <cols>
    <col min="1" max="2" width="13.140625" bestFit="1" customWidth="1"/>
    <col min="3" max="4" width="11.28515625" bestFit="1" customWidth="1"/>
  </cols>
  <sheetData>
    <row r="3" spans="1:3" x14ac:dyDescent="0.25">
      <c r="A3" s="2" t="s">
        <v>229</v>
      </c>
      <c r="B3" t="s">
        <v>231</v>
      </c>
    </row>
    <row r="4" spans="1:3" x14ac:dyDescent="0.25">
      <c r="A4" s="3" t="s">
        <v>236</v>
      </c>
      <c r="B4">
        <v>3194420</v>
      </c>
    </row>
    <row r="5" spans="1:3" x14ac:dyDescent="0.25">
      <c r="A5" s="3" t="s">
        <v>237</v>
      </c>
      <c r="B5">
        <v>4612990</v>
      </c>
    </row>
    <row r="6" spans="1:3" x14ac:dyDescent="0.25">
      <c r="A6" s="3" t="s">
        <v>238</v>
      </c>
      <c r="B6">
        <v>5715315</v>
      </c>
    </row>
    <row r="7" spans="1:3" x14ac:dyDescent="0.25">
      <c r="A7" s="3" t="s">
        <v>239</v>
      </c>
      <c r="B7">
        <v>3935340</v>
      </c>
    </row>
    <row r="8" spans="1:3" x14ac:dyDescent="0.25">
      <c r="A8" s="3" t="s">
        <v>230</v>
      </c>
      <c r="B8">
        <v>17458065</v>
      </c>
    </row>
    <row r="11" spans="1:3" x14ac:dyDescent="0.25">
      <c r="B11" s="2" t="s">
        <v>229</v>
      </c>
      <c r="C11" t="s">
        <v>231</v>
      </c>
    </row>
    <row r="12" spans="1:3" x14ac:dyDescent="0.25">
      <c r="B12" s="3" t="s">
        <v>16</v>
      </c>
      <c r="C12">
        <v>2148700</v>
      </c>
    </row>
    <row r="13" spans="1:3" x14ac:dyDescent="0.25">
      <c r="B13" s="3" t="s">
        <v>20</v>
      </c>
      <c r="C13">
        <v>1838300</v>
      </c>
    </row>
    <row r="14" spans="1:3" x14ac:dyDescent="0.25">
      <c r="B14" s="3" t="s">
        <v>47</v>
      </c>
      <c r="C14">
        <v>905150</v>
      </c>
    </row>
    <row r="15" spans="1:3" x14ac:dyDescent="0.25">
      <c r="B15" s="3" t="s">
        <v>10</v>
      </c>
      <c r="C15">
        <v>866150</v>
      </c>
    </row>
    <row r="16" spans="1:3" x14ac:dyDescent="0.25">
      <c r="B16" s="3" t="s">
        <v>22</v>
      </c>
      <c r="C16">
        <v>788700</v>
      </c>
    </row>
    <row r="17" spans="2:3" x14ac:dyDescent="0.25">
      <c r="B17" s="3" t="s">
        <v>45</v>
      </c>
      <c r="C17">
        <v>765150</v>
      </c>
    </row>
    <row r="18" spans="2:3" x14ac:dyDescent="0.25">
      <c r="B18" s="3" t="s">
        <v>55</v>
      </c>
      <c r="C18">
        <v>757500</v>
      </c>
    </row>
    <row r="19" spans="2:3" x14ac:dyDescent="0.25">
      <c r="B19" s="3" t="s">
        <v>36</v>
      </c>
      <c r="C19">
        <v>740400</v>
      </c>
    </row>
    <row r="20" spans="2:3" x14ac:dyDescent="0.25">
      <c r="B20" s="3" t="s">
        <v>14</v>
      </c>
      <c r="C20">
        <v>656140</v>
      </c>
    </row>
    <row r="21" spans="2:3" x14ac:dyDescent="0.25">
      <c r="B21" s="3" t="s">
        <v>132</v>
      </c>
      <c r="C21">
        <v>651800</v>
      </c>
    </row>
    <row r="22" spans="2:3" x14ac:dyDescent="0.25">
      <c r="B22" s="3" t="s">
        <v>230</v>
      </c>
      <c r="C22">
        <v>10117990</v>
      </c>
    </row>
    <row r="28" spans="2:3" x14ac:dyDescent="0.25">
      <c r="B28" s="2" t="s">
        <v>229</v>
      </c>
      <c r="C28" t="s">
        <v>241</v>
      </c>
    </row>
    <row r="29" spans="2:3" x14ac:dyDescent="0.25">
      <c r="B29" s="3" t="s">
        <v>14</v>
      </c>
      <c r="C29">
        <v>42000</v>
      </c>
    </row>
    <row r="30" spans="2:3" x14ac:dyDescent="0.25">
      <c r="B30" s="3" t="s">
        <v>31</v>
      </c>
      <c r="C30">
        <v>10000</v>
      </c>
    </row>
    <row r="31" spans="2:3" x14ac:dyDescent="0.25">
      <c r="B31" s="3" t="s">
        <v>90</v>
      </c>
      <c r="C31">
        <v>10000</v>
      </c>
    </row>
    <row r="32" spans="2:3" x14ac:dyDescent="0.25">
      <c r="B32" s="3" t="s">
        <v>57</v>
      </c>
      <c r="C32">
        <v>10000</v>
      </c>
    </row>
    <row r="33" spans="2:3" x14ac:dyDescent="0.25">
      <c r="B33" s="3" t="s">
        <v>105</v>
      </c>
      <c r="C33">
        <v>8000</v>
      </c>
    </row>
    <row r="34" spans="2:3" x14ac:dyDescent="0.25">
      <c r="B34" s="3" t="s">
        <v>34</v>
      </c>
      <c r="C34">
        <v>6000</v>
      </c>
    </row>
    <row r="35" spans="2:3" x14ac:dyDescent="0.25">
      <c r="B35" s="3" t="s">
        <v>153</v>
      </c>
      <c r="C35">
        <v>4000</v>
      </c>
    </row>
    <row r="36" spans="2:3" x14ac:dyDescent="0.25">
      <c r="B36" s="3" t="s">
        <v>158</v>
      </c>
      <c r="C36">
        <v>4000</v>
      </c>
    </row>
    <row r="37" spans="2:3" x14ac:dyDescent="0.25">
      <c r="B37" s="3" t="s">
        <v>230</v>
      </c>
      <c r="C37">
        <v>94000</v>
      </c>
    </row>
    <row r="46" spans="2:3" x14ac:dyDescent="0.25">
      <c r="B46" s="2" t="s">
        <v>229</v>
      </c>
      <c r="C46" t="s">
        <v>242</v>
      </c>
    </row>
    <row r="47" spans="2:3" x14ac:dyDescent="0.25">
      <c r="B47" s="3" t="s">
        <v>16</v>
      </c>
      <c r="C47">
        <v>1325</v>
      </c>
    </row>
    <row r="48" spans="2:3" x14ac:dyDescent="0.25">
      <c r="B48" s="3" t="s">
        <v>20</v>
      </c>
      <c r="C48">
        <v>1088</v>
      </c>
    </row>
    <row r="49" spans="2:3" x14ac:dyDescent="0.25">
      <c r="B49" s="3" t="s">
        <v>22</v>
      </c>
      <c r="C49">
        <v>508</v>
      </c>
    </row>
    <row r="50" spans="2:3" x14ac:dyDescent="0.25">
      <c r="B50" s="3" t="s">
        <v>230</v>
      </c>
      <c r="C50">
        <v>2921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3E693-F7CA-4D96-B4D0-ADD5FA44B68C}">
  <sheetPr codeName="Sheet44"/>
  <dimension ref="A1:J295"/>
  <sheetViews>
    <sheetView workbookViewId="0">
      <selection activeCell="E15" sqref="E15"/>
    </sheetView>
  </sheetViews>
  <sheetFormatPr defaultRowHeight="15" x14ac:dyDescent="0.25"/>
  <cols>
    <col min="1" max="1" width="10.42578125" bestFit="1" customWidth="1"/>
    <col min="2" max="2" width="28.5703125" bestFit="1" customWidth="1"/>
    <col min="3" max="3" width="25.28515625" bestFit="1" customWidth="1"/>
    <col min="4" max="4" width="16.28515625" bestFit="1" customWidth="1"/>
    <col min="5" max="5" width="12" bestFit="1" customWidth="1"/>
    <col min="6" max="6" width="10.42578125" bestFit="1" customWidth="1"/>
    <col min="7" max="7" width="11.7109375" bestFit="1" customWidth="1"/>
  </cols>
  <sheetData>
    <row r="1" spans="1:10" x14ac:dyDescent="0.25">
      <c r="A1" t="s">
        <v>233</v>
      </c>
      <c r="B1" t="s">
        <v>0</v>
      </c>
      <c r="C1" t="s">
        <v>1</v>
      </c>
      <c r="D1" t="s">
        <v>2</v>
      </c>
      <c r="E1" t="s">
        <v>3</v>
      </c>
      <c r="F1" t="s">
        <v>4</v>
      </c>
      <c r="G1" t="s">
        <v>5</v>
      </c>
      <c r="H1" t="s">
        <v>6</v>
      </c>
      <c r="I1" t="s">
        <v>235</v>
      </c>
      <c r="J1" t="s">
        <v>240</v>
      </c>
    </row>
    <row r="2" spans="1:10" x14ac:dyDescent="0.25">
      <c r="A2">
        <v>1</v>
      </c>
      <c r="B2" s="1">
        <v>45546</v>
      </c>
      <c r="C2" t="s">
        <v>48</v>
      </c>
      <c r="D2" t="s">
        <v>49</v>
      </c>
      <c r="E2">
        <v>16</v>
      </c>
      <c r="F2">
        <v>0</v>
      </c>
      <c r="G2">
        <v>0</v>
      </c>
      <c r="H2">
        <v>45100</v>
      </c>
      <c r="I2" t="str">
        <f>TEXT(RTN_AND_ALIBAG_MARKET_SALES[[#This Row],[DATE]],"mmm")</f>
        <v>Sep</v>
      </c>
      <c r="J2" t="str">
        <f>TRIM(RTN_AND_ALIBAG_MARKET_SALES[[#This Row],[NICK NAME]])</f>
        <v>ZAMZAM</v>
      </c>
    </row>
    <row r="3" spans="1:10" x14ac:dyDescent="0.25">
      <c r="A3">
        <v>2</v>
      </c>
      <c r="B3" s="1">
        <v>45546</v>
      </c>
      <c r="C3" t="s">
        <v>50</v>
      </c>
      <c r="D3" t="s">
        <v>24</v>
      </c>
      <c r="E3">
        <v>40</v>
      </c>
      <c r="F3">
        <v>0</v>
      </c>
      <c r="G3">
        <v>0</v>
      </c>
      <c r="H3">
        <v>2700</v>
      </c>
      <c r="I3" t="str">
        <f>TEXT(RTN_AND_ALIBAG_MARKET_SALES[[#This Row],[DATE]],"mmm")</f>
        <v>Sep</v>
      </c>
      <c r="J3" t="str">
        <f>TRIM(RTN_AND_ALIBAG_MARKET_SALES[[#This Row],[NICK NAME]])</f>
        <v>CHS</v>
      </c>
    </row>
    <row r="4" spans="1:10" x14ac:dyDescent="0.25">
      <c r="A4">
        <v>3</v>
      </c>
      <c r="B4" s="1">
        <v>45546</v>
      </c>
      <c r="C4" t="s">
        <v>51</v>
      </c>
      <c r="D4" t="s">
        <v>47</v>
      </c>
      <c r="E4">
        <v>4</v>
      </c>
      <c r="F4">
        <v>0</v>
      </c>
      <c r="G4">
        <v>0</v>
      </c>
      <c r="H4">
        <v>6800</v>
      </c>
      <c r="I4" t="str">
        <f>TEXT(RTN_AND_ALIBAG_MARKET_SALES[[#This Row],[DATE]],"mmm")</f>
        <v>Sep</v>
      </c>
      <c r="J4" t="str">
        <f>TRIM(RTN_AND_ALIBAG_MARKET_SALES[[#This Row],[NICK NAME]])</f>
        <v>AS</v>
      </c>
    </row>
    <row r="5" spans="1:10" x14ac:dyDescent="0.25">
      <c r="A5">
        <v>4</v>
      </c>
      <c r="B5" s="1">
        <v>45547</v>
      </c>
      <c r="C5" t="s">
        <v>52</v>
      </c>
      <c r="D5" t="s">
        <v>53</v>
      </c>
      <c r="E5">
        <v>45</v>
      </c>
      <c r="F5">
        <v>0</v>
      </c>
      <c r="G5">
        <v>0</v>
      </c>
      <c r="H5">
        <v>108600</v>
      </c>
      <c r="I5" t="str">
        <f>TEXT(RTN_AND_ALIBAG_MARKET_SALES[[#This Row],[DATE]],"mmm")</f>
        <v>Sep</v>
      </c>
      <c r="J5" t="str">
        <f>TRIM(RTN_AND_ALIBAG_MARKET_SALES[[#This Row],[NICK NAME]])</f>
        <v>AFK</v>
      </c>
    </row>
    <row r="6" spans="1:10" x14ac:dyDescent="0.25">
      <c r="A6">
        <v>5</v>
      </c>
      <c r="B6" s="1">
        <v>45547</v>
      </c>
      <c r="C6" t="s">
        <v>51</v>
      </c>
      <c r="D6" t="s">
        <v>47</v>
      </c>
      <c r="E6">
        <v>24</v>
      </c>
      <c r="F6">
        <v>0</v>
      </c>
      <c r="G6">
        <v>0</v>
      </c>
      <c r="H6">
        <v>54400</v>
      </c>
      <c r="I6" t="str">
        <f>TEXT(RTN_AND_ALIBAG_MARKET_SALES[[#This Row],[DATE]],"mmm")</f>
        <v>Sep</v>
      </c>
      <c r="J6" t="str">
        <f>TRIM(RTN_AND_ALIBAG_MARKET_SALES[[#This Row],[NICK NAME]])</f>
        <v>AS</v>
      </c>
    </row>
    <row r="7" spans="1:10" x14ac:dyDescent="0.25">
      <c r="A7">
        <v>6</v>
      </c>
      <c r="B7" s="1">
        <v>45547</v>
      </c>
      <c r="C7" t="s">
        <v>54</v>
      </c>
      <c r="D7" t="s">
        <v>55</v>
      </c>
      <c r="E7">
        <v>15</v>
      </c>
      <c r="F7">
        <v>0</v>
      </c>
      <c r="G7">
        <v>0</v>
      </c>
      <c r="H7">
        <v>29300</v>
      </c>
      <c r="I7" t="str">
        <f>TEXT(RTN_AND_ALIBAG_MARKET_SALES[[#This Row],[DATE]],"mmm")</f>
        <v>Sep</v>
      </c>
      <c r="J7" t="str">
        <f>TRIM(RTN_AND_ALIBAG_MARKET_SALES[[#This Row],[NICK NAME]])</f>
        <v>EBF</v>
      </c>
    </row>
    <row r="8" spans="1:10" x14ac:dyDescent="0.25">
      <c r="A8">
        <v>7</v>
      </c>
      <c r="B8" s="1">
        <v>45547</v>
      </c>
      <c r="C8" t="s">
        <v>56</v>
      </c>
      <c r="D8" t="s">
        <v>57</v>
      </c>
      <c r="E8">
        <v>15</v>
      </c>
      <c r="F8">
        <v>0</v>
      </c>
      <c r="G8">
        <v>0</v>
      </c>
      <c r="H8">
        <v>33900</v>
      </c>
      <c r="I8" t="str">
        <f>TEXT(RTN_AND_ALIBAG_MARKET_SALES[[#This Row],[DATE]],"mmm")</f>
        <v>Sep</v>
      </c>
      <c r="J8" t="str">
        <f>TRIM(RTN_AND_ALIBAG_MARKET_SALES[[#This Row],[NICK NAME]])</f>
        <v>PMM</v>
      </c>
    </row>
    <row r="9" spans="1:10" x14ac:dyDescent="0.25">
      <c r="A9">
        <v>8</v>
      </c>
      <c r="B9" s="1">
        <v>45547</v>
      </c>
      <c r="C9" t="s">
        <v>58</v>
      </c>
      <c r="D9" t="s">
        <v>59</v>
      </c>
      <c r="E9">
        <v>15</v>
      </c>
      <c r="F9">
        <v>0</v>
      </c>
      <c r="G9">
        <v>0</v>
      </c>
      <c r="H9">
        <v>31500</v>
      </c>
      <c r="I9" t="str">
        <f>TEXT(RTN_AND_ALIBAG_MARKET_SALES[[#This Row],[DATE]],"mmm")</f>
        <v>Sep</v>
      </c>
      <c r="J9" t="str">
        <f>TRIM(RTN_AND_ALIBAG_MARKET_SALES[[#This Row],[NICK NAME]])</f>
        <v>MR</v>
      </c>
    </row>
    <row r="10" spans="1:10" x14ac:dyDescent="0.25">
      <c r="A10">
        <v>9</v>
      </c>
      <c r="B10" s="1">
        <v>45547</v>
      </c>
      <c r="C10" t="s">
        <v>60</v>
      </c>
      <c r="D10" t="s">
        <v>12</v>
      </c>
      <c r="E10">
        <v>4</v>
      </c>
      <c r="F10">
        <v>0</v>
      </c>
      <c r="G10">
        <v>0</v>
      </c>
      <c r="H10">
        <v>7100</v>
      </c>
      <c r="I10" t="str">
        <f>TEXT(RTN_AND_ALIBAG_MARKET_SALES[[#This Row],[DATE]],"mmm")</f>
        <v>Sep</v>
      </c>
      <c r="J10" t="str">
        <f>TRIM(RTN_AND_ALIBAG_MARKET_SALES[[#This Row],[NICK NAME]])</f>
        <v>TWK</v>
      </c>
    </row>
    <row r="11" spans="1:10" x14ac:dyDescent="0.25">
      <c r="A11">
        <v>10</v>
      </c>
      <c r="B11" s="1">
        <v>45547</v>
      </c>
      <c r="C11" t="s">
        <v>61</v>
      </c>
      <c r="D11" t="s">
        <v>62</v>
      </c>
      <c r="E11">
        <v>12</v>
      </c>
      <c r="F11">
        <v>0</v>
      </c>
      <c r="G11">
        <v>0</v>
      </c>
      <c r="H11">
        <v>21500</v>
      </c>
      <c r="I11" t="str">
        <f>TEXT(RTN_AND_ALIBAG_MARKET_SALES[[#This Row],[DATE]],"mmm")</f>
        <v>Sep</v>
      </c>
      <c r="J11" t="str">
        <f>TRIM(RTN_AND_ALIBAG_MARKET_SALES[[#This Row],[NICK NAME]])</f>
        <v>ZULFI</v>
      </c>
    </row>
    <row r="12" spans="1:10" x14ac:dyDescent="0.25">
      <c r="A12">
        <v>11</v>
      </c>
      <c r="B12" s="1">
        <v>45547</v>
      </c>
      <c r="C12" t="s">
        <v>66</v>
      </c>
      <c r="D12" t="s">
        <v>8</v>
      </c>
      <c r="E12">
        <v>20</v>
      </c>
      <c r="F12">
        <v>0</v>
      </c>
      <c r="G12">
        <v>0</v>
      </c>
      <c r="H12">
        <v>2700</v>
      </c>
      <c r="I12" t="str">
        <f>TEXT(RTN_AND_ALIBAG_MARKET_SALES[[#This Row],[DATE]],"mmm")</f>
        <v>Sep</v>
      </c>
      <c r="J12" t="str">
        <f>TRIM(RTN_AND_ALIBAG_MARKET_SALES[[#This Row],[NICK NAME]])</f>
        <v>HMS</v>
      </c>
    </row>
    <row r="13" spans="1:10" x14ac:dyDescent="0.25">
      <c r="A13">
        <v>12</v>
      </c>
      <c r="B13" s="1">
        <v>45548</v>
      </c>
      <c r="C13" t="s">
        <v>63</v>
      </c>
      <c r="D13" t="s">
        <v>14</v>
      </c>
      <c r="E13">
        <v>20</v>
      </c>
      <c r="F13">
        <v>3000</v>
      </c>
      <c r="G13">
        <v>1</v>
      </c>
      <c r="H13">
        <v>34900</v>
      </c>
      <c r="I13" t="str">
        <f>TEXT(RTN_AND_ALIBAG_MARKET_SALES[[#This Row],[DATE]],"mmm")</f>
        <v>Sep</v>
      </c>
      <c r="J13" t="str">
        <f>TRIM(RTN_AND_ALIBAG_MARKET_SALES[[#This Row],[NICK NAME]])</f>
        <v>SHA</v>
      </c>
    </row>
    <row r="14" spans="1:10" x14ac:dyDescent="0.25">
      <c r="A14">
        <v>13</v>
      </c>
      <c r="B14" s="1">
        <v>45548</v>
      </c>
      <c r="C14" t="s">
        <v>64</v>
      </c>
      <c r="D14" t="s">
        <v>45</v>
      </c>
      <c r="E14">
        <v>15</v>
      </c>
      <c r="F14">
        <v>0</v>
      </c>
      <c r="G14">
        <v>0</v>
      </c>
      <c r="H14">
        <v>21700</v>
      </c>
      <c r="I14" t="str">
        <f>TEXT(RTN_AND_ALIBAG_MARKET_SALES[[#This Row],[DATE]],"mmm")</f>
        <v>Sep</v>
      </c>
      <c r="J14" t="str">
        <f>TRIM(RTN_AND_ALIBAG_MARKET_SALES[[#This Row],[NICK NAME]])</f>
        <v>BISMI</v>
      </c>
    </row>
    <row r="15" spans="1:10" x14ac:dyDescent="0.25">
      <c r="A15">
        <v>14</v>
      </c>
      <c r="B15" s="1">
        <v>45548</v>
      </c>
      <c r="C15" t="s">
        <v>67</v>
      </c>
      <c r="D15" t="s">
        <v>68</v>
      </c>
      <c r="E15">
        <v>23</v>
      </c>
      <c r="F15">
        <v>0</v>
      </c>
      <c r="G15">
        <v>0</v>
      </c>
      <c r="H15">
        <v>6600</v>
      </c>
      <c r="I15" t="str">
        <f>TEXT(RTN_AND_ALIBAG_MARKET_SALES[[#This Row],[DATE]],"mmm")</f>
        <v>Sep</v>
      </c>
      <c r="J15" t="str">
        <f>TRIM(RTN_AND_ALIBAG_MARKET_SALES[[#This Row],[NICK NAME]])</f>
        <v>AKT</v>
      </c>
    </row>
    <row r="16" spans="1:10" x14ac:dyDescent="0.25">
      <c r="A16">
        <v>15</v>
      </c>
      <c r="B16" s="1">
        <v>45548</v>
      </c>
      <c r="C16" t="s">
        <v>69</v>
      </c>
      <c r="D16" t="s">
        <v>70</v>
      </c>
      <c r="E16">
        <v>15</v>
      </c>
      <c r="F16">
        <v>0</v>
      </c>
      <c r="G16">
        <v>0</v>
      </c>
      <c r="H16">
        <v>39600</v>
      </c>
      <c r="I16" t="str">
        <f>TEXT(RTN_AND_ALIBAG_MARKET_SALES[[#This Row],[DATE]],"mmm")</f>
        <v>Sep</v>
      </c>
      <c r="J16" t="str">
        <f>TRIM(RTN_AND_ALIBAG_MARKET_SALES[[#This Row],[NICK NAME]])</f>
        <v>FRIENDS</v>
      </c>
    </row>
    <row r="17" spans="1:10" x14ac:dyDescent="0.25">
      <c r="A17">
        <v>16</v>
      </c>
      <c r="B17" s="1">
        <v>45548</v>
      </c>
      <c r="C17" t="s">
        <v>48</v>
      </c>
      <c r="D17" t="s">
        <v>49</v>
      </c>
      <c r="E17">
        <v>15</v>
      </c>
      <c r="F17">
        <v>0</v>
      </c>
      <c r="G17">
        <v>0</v>
      </c>
      <c r="H17">
        <v>36300</v>
      </c>
      <c r="I17" t="str">
        <f>TEXT(RTN_AND_ALIBAG_MARKET_SALES[[#This Row],[DATE]],"mmm")</f>
        <v>Sep</v>
      </c>
      <c r="J17" t="str">
        <f>TRIM(RTN_AND_ALIBAG_MARKET_SALES[[#This Row],[NICK NAME]])</f>
        <v>ZAMZAM</v>
      </c>
    </row>
    <row r="18" spans="1:10" x14ac:dyDescent="0.25">
      <c r="A18">
        <v>17</v>
      </c>
      <c r="B18" s="1">
        <v>45548</v>
      </c>
      <c r="C18" t="s">
        <v>71</v>
      </c>
      <c r="D18" t="s">
        <v>53</v>
      </c>
      <c r="E18">
        <v>25</v>
      </c>
      <c r="F18">
        <v>0</v>
      </c>
      <c r="G18">
        <v>0</v>
      </c>
      <c r="H18">
        <v>61300</v>
      </c>
      <c r="I18" t="str">
        <f>TEXT(RTN_AND_ALIBAG_MARKET_SALES[[#This Row],[DATE]],"mmm")</f>
        <v>Sep</v>
      </c>
      <c r="J18" t="str">
        <f>TRIM(RTN_AND_ALIBAG_MARKET_SALES[[#This Row],[NICK NAME]])</f>
        <v>AFK</v>
      </c>
    </row>
    <row r="19" spans="1:10" x14ac:dyDescent="0.25">
      <c r="A19">
        <v>18</v>
      </c>
      <c r="B19" s="1">
        <v>45548</v>
      </c>
      <c r="C19" t="s">
        <v>72</v>
      </c>
      <c r="D19" t="s">
        <v>73</v>
      </c>
      <c r="E19">
        <v>14</v>
      </c>
      <c r="F19">
        <v>0</v>
      </c>
      <c r="G19">
        <v>0</v>
      </c>
      <c r="H19">
        <v>29600</v>
      </c>
      <c r="I19" t="str">
        <f>TEXT(RTN_AND_ALIBAG_MARKET_SALES[[#This Row],[DATE]],"mmm")</f>
        <v>Sep</v>
      </c>
      <c r="J19" t="str">
        <f>TRIM(RTN_AND_ALIBAG_MARKET_SALES[[#This Row],[NICK NAME]])</f>
        <v>BH</v>
      </c>
    </row>
    <row r="20" spans="1:10" x14ac:dyDescent="0.25">
      <c r="A20">
        <v>19</v>
      </c>
      <c r="B20" s="1">
        <v>45549</v>
      </c>
      <c r="C20" t="s">
        <v>65</v>
      </c>
      <c r="D20" t="s">
        <v>22</v>
      </c>
      <c r="E20">
        <v>15</v>
      </c>
      <c r="F20">
        <v>0</v>
      </c>
      <c r="G20">
        <v>0</v>
      </c>
      <c r="H20">
        <v>27000</v>
      </c>
      <c r="I20" t="str">
        <f>TEXT(RTN_AND_ALIBAG_MARKET_SALES[[#This Row],[DATE]],"mmm")</f>
        <v>Sep</v>
      </c>
      <c r="J20" t="str">
        <f>TRIM(RTN_AND_ALIBAG_MARKET_SALES[[#This Row],[NICK NAME]])</f>
        <v>YSN</v>
      </c>
    </row>
    <row r="21" spans="1:10" x14ac:dyDescent="0.25">
      <c r="A21">
        <v>20</v>
      </c>
      <c r="B21" s="1">
        <v>45549</v>
      </c>
      <c r="C21" t="s">
        <v>71</v>
      </c>
      <c r="D21" t="s">
        <v>53</v>
      </c>
      <c r="E21">
        <v>50</v>
      </c>
      <c r="F21">
        <v>0</v>
      </c>
      <c r="G21">
        <v>0</v>
      </c>
      <c r="H21">
        <v>131000</v>
      </c>
      <c r="I21" t="str">
        <f>TEXT(RTN_AND_ALIBAG_MARKET_SALES[[#This Row],[DATE]],"mmm")</f>
        <v>Sep</v>
      </c>
      <c r="J21" t="str">
        <f>TRIM(RTN_AND_ALIBAG_MARKET_SALES[[#This Row],[NICK NAME]])</f>
        <v>AFK</v>
      </c>
    </row>
    <row r="22" spans="1:10" x14ac:dyDescent="0.25">
      <c r="A22">
        <v>21</v>
      </c>
      <c r="B22" s="1">
        <v>45549</v>
      </c>
      <c r="C22" t="s">
        <v>72</v>
      </c>
      <c r="D22" t="s">
        <v>73</v>
      </c>
      <c r="E22">
        <v>7</v>
      </c>
      <c r="F22">
        <v>0</v>
      </c>
      <c r="G22">
        <v>0</v>
      </c>
      <c r="H22">
        <v>13400</v>
      </c>
      <c r="I22" t="str">
        <f>TEXT(RTN_AND_ALIBAG_MARKET_SALES[[#This Row],[DATE]],"mmm")</f>
        <v>Sep</v>
      </c>
      <c r="J22" t="str">
        <f>TRIM(RTN_AND_ALIBAG_MARKET_SALES[[#This Row],[NICK NAME]])</f>
        <v>BH</v>
      </c>
    </row>
    <row r="23" spans="1:10" x14ac:dyDescent="0.25">
      <c r="A23">
        <v>22</v>
      </c>
      <c r="B23" s="1">
        <v>45549</v>
      </c>
      <c r="C23" t="s">
        <v>74</v>
      </c>
      <c r="D23" t="s">
        <v>31</v>
      </c>
      <c r="E23">
        <v>2</v>
      </c>
      <c r="F23">
        <v>0</v>
      </c>
      <c r="G23">
        <v>0</v>
      </c>
      <c r="H23">
        <v>2000</v>
      </c>
      <c r="I23" t="str">
        <f>TEXT(RTN_AND_ALIBAG_MARKET_SALES[[#This Row],[DATE]],"mmm")</f>
        <v>Sep</v>
      </c>
      <c r="J23" t="str">
        <f>TRIM(RTN_AND_ALIBAG_MARKET_SALES[[#This Row],[NICK NAME]])</f>
        <v>EPN</v>
      </c>
    </row>
    <row r="24" spans="1:10" x14ac:dyDescent="0.25">
      <c r="A24">
        <v>23</v>
      </c>
      <c r="B24" s="1">
        <v>45549</v>
      </c>
      <c r="C24" t="s">
        <v>75</v>
      </c>
      <c r="D24" t="s">
        <v>38</v>
      </c>
      <c r="E24">
        <v>29</v>
      </c>
      <c r="F24">
        <v>0</v>
      </c>
      <c r="G24">
        <v>0</v>
      </c>
      <c r="H24">
        <v>27000</v>
      </c>
      <c r="I24" t="str">
        <f>TEXT(RTN_AND_ALIBAG_MARKET_SALES[[#This Row],[DATE]],"mmm")</f>
        <v>Sep</v>
      </c>
      <c r="J24" t="str">
        <f>TRIM(RTN_AND_ALIBAG_MARKET_SALES[[#This Row],[NICK NAME]])</f>
        <v>LH</v>
      </c>
    </row>
    <row r="25" spans="1:10" x14ac:dyDescent="0.25">
      <c r="A25">
        <v>24</v>
      </c>
      <c r="B25" s="1">
        <v>45552</v>
      </c>
      <c r="C25" t="s">
        <v>160</v>
      </c>
      <c r="D25" t="s">
        <v>24</v>
      </c>
      <c r="E25">
        <v>20</v>
      </c>
      <c r="F25">
        <v>0</v>
      </c>
      <c r="G25">
        <v>0</v>
      </c>
      <c r="H25">
        <v>1140</v>
      </c>
      <c r="I25" t="str">
        <f>TEXT(RTN_AND_ALIBAG_MARKET_SALES[[#This Row],[DATE]],"mmm")</f>
        <v>Sep</v>
      </c>
      <c r="J25" t="str">
        <f>TRIM(RTN_AND_ALIBAG_MARKET_SALES[[#This Row],[NICK NAME]])</f>
        <v>CHS</v>
      </c>
    </row>
    <row r="26" spans="1:10" x14ac:dyDescent="0.25">
      <c r="A26">
        <v>25</v>
      </c>
      <c r="B26" s="1">
        <v>45552</v>
      </c>
      <c r="C26" t="s">
        <v>144</v>
      </c>
      <c r="D26" t="s">
        <v>105</v>
      </c>
      <c r="E26">
        <v>10</v>
      </c>
      <c r="F26">
        <v>2000</v>
      </c>
      <c r="G26">
        <v>5</v>
      </c>
      <c r="H26">
        <v>21970</v>
      </c>
      <c r="I26" t="str">
        <f>TEXT(RTN_AND_ALIBAG_MARKET_SALES[[#This Row],[DATE]],"mmm")</f>
        <v>Sep</v>
      </c>
      <c r="J26" t="str">
        <f>TRIM(RTN_AND_ALIBAG_MARKET_SALES[[#This Row],[NICK NAME]])</f>
        <v>KMG</v>
      </c>
    </row>
    <row r="27" spans="1:10" x14ac:dyDescent="0.25">
      <c r="A27">
        <v>26</v>
      </c>
      <c r="B27" s="1">
        <v>45552</v>
      </c>
      <c r="C27" t="s">
        <v>102</v>
      </c>
      <c r="D27" t="s">
        <v>103</v>
      </c>
      <c r="E27">
        <v>12</v>
      </c>
      <c r="F27">
        <v>0</v>
      </c>
      <c r="G27">
        <v>0</v>
      </c>
      <c r="H27">
        <v>23100</v>
      </c>
      <c r="I27" t="str">
        <f>TEXT(RTN_AND_ALIBAG_MARKET_SALES[[#This Row],[DATE]],"mmm")</f>
        <v>Sep</v>
      </c>
      <c r="J27" t="str">
        <f>TRIM(RTN_AND_ALIBAG_MARKET_SALES[[#This Row],[NICK NAME]])</f>
        <v>MKS</v>
      </c>
    </row>
    <row r="28" spans="1:10" x14ac:dyDescent="0.25">
      <c r="A28">
        <v>27</v>
      </c>
      <c r="B28" s="1">
        <v>45553</v>
      </c>
      <c r="C28" t="s">
        <v>161</v>
      </c>
      <c r="D28" t="s">
        <v>162</v>
      </c>
      <c r="E28">
        <v>10</v>
      </c>
      <c r="F28">
        <v>0</v>
      </c>
      <c r="G28">
        <v>0</v>
      </c>
      <c r="H28">
        <v>17000</v>
      </c>
      <c r="I28" t="str">
        <f>TEXT(RTN_AND_ALIBAG_MARKET_SALES[[#This Row],[DATE]],"mmm")</f>
        <v>Sep</v>
      </c>
      <c r="J28" t="str">
        <f>TRIM(RTN_AND_ALIBAG_MARKET_SALES[[#This Row],[NICK NAME]])</f>
        <v>ASF</v>
      </c>
    </row>
    <row r="29" spans="1:10" x14ac:dyDescent="0.25">
      <c r="A29">
        <v>28</v>
      </c>
      <c r="B29" s="1">
        <v>45553</v>
      </c>
      <c r="C29" t="s">
        <v>163</v>
      </c>
      <c r="D29" t="s">
        <v>164</v>
      </c>
      <c r="E29">
        <v>15</v>
      </c>
      <c r="F29">
        <v>0</v>
      </c>
      <c r="G29">
        <v>0</v>
      </c>
      <c r="H29">
        <v>2200</v>
      </c>
      <c r="I29" t="str">
        <f>TEXT(RTN_AND_ALIBAG_MARKET_SALES[[#This Row],[DATE]],"mmm")</f>
        <v>Sep</v>
      </c>
      <c r="J29" t="str">
        <f>TRIM(RTN_AND_ALIBAG_MARKET_SALES[[#This Row],[NICK NAME]])</f>
        <v>PMJ</v>
      </c>
    </row>
    <row r="30" spans="1:10" x14ac:dyDescent="0.25">
      <c r="A30">
        <v>29</v>
      </c>
      <c r="B30" s="1">
        <v>45553</v>
      </c>
      <c r="C30" t="s">
        <v>108</v>
      </c>
      <c r="D30" t="s">
        <v>68</v>
      </c>
      <c r="E30">
        <v>5</v>
      </c>
      <c r="F30">
        <v>0</v>
      </c>
      <c r="G30">
        <v>0</v>
      </c>
      <c r="H30">
        <v>10800</v>
      </c>
      <c r="I30" t="str">
        <f>TEXT(RTN_AND_ALIBAG_MARKET_SALES[[#This Row],[DATE]],"mmm")</f>
        <v>Sep</v>
      </c>
      <c r="J30" t="str">
        <f>TRIM(RTN_AND_ALIBAG_MARKET_SALES[[#This Row],[NICK NAME]])</f>
        <v>AKT</v>
      </c>
    </row>
    <row r="31" spans="1:10" x14ac:dyDescent="0.25">
      <c r="A31">
        <v>30</v>
      </c>
      <c r="B31" s="1">
        <v>45553</v>
      </c>
      <c r="C31" t="s">
        <v>165</v>
      </c>
      <c r="D31" t="s">
        <v>166</v>
      </c>
      <c r="E31">
        <v>10</v>
      </c>
      <c r="F31">
        <v>0</v>
      </c>
      <c r="G31">
        <v>0</v>
      </c>
      <c r="H31">
        <v>4950</v>
      </c>
      <c r="I31" t="str">
        <f>TEXT(RTN_AND_ALIBAG_MARKET_SALES[[#This Row],[DATE]],"mmm")</f>
        <v>Sep</v>
      </c>
      <c r="J31" t="str">
        <f>TRIM(RTN_AND_ALIBAG_MARKET_SALES[[#This Row],[NICK NAME]])</f>
        <v>PAV</v>
      </c>
    </row>
    <row r="32" spans="1:10" x14ac:dyDescent="0.25">
      <c r="A32">
        <v>31</v>
      </c>
      <c r="B32" s="1">
        <v>45553</v>
      </c>
      <c r="C32" t="s">
        <v>93</v>
      </c>
      <c r="D32" t="s">
        <v>94</v>
      </c>
      <c r="E32">
        <v>15</v>
      </c>
      <c r="F32">
        <v>0</v>
      </c>
      <c r="G32">
        <v>0</v>
      </c>
      <c r="H32">
        <v>27650</v>
      </c>
      <c r="I32" t="str">
        <f>TEXT(RTN_AND_ALIBAG_MARKET_SALES[[#This Row],[DATE]],"mmm")</f>
        <v>Sep</v>
      </c>
      <c r="J32" t="str">
        <f>TRIM(RTN_AND_ALIBAG_MARKET_SALES[[#This Row],[NICK NAME]])</f>
        <v>OMS</v>
      </c>
    </row>
    <row r="33" spans="1:10" x14ac:dyDescent="0.25">
      <c r="A33">
        <v>32</v>
      </c>
      <c r="B33" s="1">
        <v>45553</v>
      </c>
      <c r="C33" t="s">
        <v>144</v>
      </c>
      <c r="D33" t="s">
        <v>105</v>
      </c>
      <c r="E33">
        <v>10</v>
      </c>
      <c r="F33">
        <v>2000</v>
      </c>
      <c r="G33">
        <v>6</v>
      </c>
      <c r="H33">
        <v>15600</v>
      </c>
      <c r="I33" t="str">
        <f>TEXT(RTN_AND_ALIBAG_MARKET_SALES[[#This Row],[DATE]],"mmm")</f>
        <v>Sep</v>
      </c>
      <c r="J33" t="str">
        <f>TRIM(RTN_AND_ALIBAG_MARKET_SALES[[#This Row],[NICK NAME]])</f>
        <v>KMG</v>
      </c>
    </row>
    <row r="34" spans="1:10" x14ac:dyDescent="0.25">
      <c r="A34">
        <v>33</v>
      </c>
      <c r="B34" s="1">
        <v>45553</v>
      </c>
      <c r="C34" t="s">
        <v>102</v>
      </c>
      <c r="D34" t="s">
        <v>103</v>
      </c>
      <c r="E34">
        <v>10</v>
      </c>
      <c r="F34">
        <v>0</v>
      </c>
      <c r="G34">
        <v>0</v>
      </c>
      <c r="H34">
        <v>17500</v>
      </c>
      <c r="I34" t="str">
        <f>TEXT(RTN_AND_ALIBAG_MARKET_SALES[[#This Row],[DATE]],"mmm")</f>
        <v>Sep</v>
      </c>
      <c r="J34" t="str">
        <f>TRIM(RTN_AND_ALIBAG_MARKET_SALES[[#This Row],[NICK NAME]])</f>
        <v>MKS</v>
      </c>
    </row>
    <row r="35" spans="1:10" x14ac:dyDescent="0.25">
      <c r="A35">
        <v>34</v>
      </c>
      <c r="B35" s="1">
        <v>45553</v>
      </c>
      <c r="C35" t="s">
        <v>167</v>
      </c>
      <c r="D35" t="s">
        <v>168</v>
      </c>
      <c r="E35">
        <v>30</v>
      </c>
      <c r="F35">
        <v>0</v>
      </c>
      <c r="G35">
        <v>0</v>
      </c>
      <c r="H35">
        <v>3300</v>
      </c>
      <c r="I35" t="str">
        <f>TEXT(RTN_AND_ALIBAG_MARKET_SALES[[#This Row],[DATE]],"mmm")</f>
        <v>Sep</v>
      </c>
      <c r="J35" t="str">
        <f>TRIM(RTN_AND_ALIBAG_MARKET_SALES[[#This Row],[NICK NAME]])</f>
        <v>MS</v>
      </c>
    </row>
    <row r="36" spans="1:10" x14ac:dyDescent="0.25">
      <c r="A36">
        <v>35</v>
      </c>
      <c r="B36" s="1">
        <v>45553</v>
      </c>
      <c r="C36" t="s">
        <v>169</v>
      </c>
      <c r="D36" t="s">
        <v>170</v>
      </c>
      <c r="E36">
        <v>10</v>
      </c>
      <c r="F36">
        <v>0</v>
      </c>
      <c r="G36">
        <v>0</v>
      </c>
      <c r="H36">
        <v>17600</v>
      </c>
      <c r="I36" t="str">
        <f>TEXT(RTN_AND_ALIBAG_MARKET_SALES[[#This Row],[DATE]],"mmm")</f>
        <v>Sep</v>
      </c>
      <c r="J36" t="str">
        <f>TRIM(RTN_AND_ALIBAG_MARKET_SALES[[#This Row],[NICK NAME]])</f>
        <v>AMS</v>
      </c>
    </row>
    <row r="37" spans="1:10" x14ac:dyDescent="0.25">
      <c r="A37">
        <v>36</v>
      </c>
      <c r="B37" s="1">
        <v>45553</v>
      </c>
      <c r="C37" t="s">
        <v>9</v>
      </c>
      <c r="D37" t="s">
        <v>10</v>
      </c>
      <c r="E37">
        <v>44</v>
      </c>
      <c r="F37">
        <v>0</v>
      </c>
      <c r="G37">
        <v>0</v>
      </c>
      <c r="H37">
        <v>96200</v>
      </c>
      <c r="I37" t="str">
        <f>TEXT(RTN_AND_ALIBAG_MARKET_SALES[[#This Row],[DATE]],"mmm")</f>
        <v>Sep</v>
      </c>
      <c r="J37" t="str">
        <f>TRIM(RTN_AND_ALIBAG_MARKET_SALES[[#This Row],[NICK NAME]])</f>
        <v>TSF</v>
      </c>
    </row>
    <row r="38" spans="1:10" x14ac:dyDescent="0.25">
      <c r="A38">
        <v>37</v>
      </c>
      <c r="B38" s="1">
        <v>45553</v>
      </c>
      <c r="C38" t="s">
        <v>46</v>
      </c>
      <c r="D38" t="s">
        <v>47</v>
      </c>
      <c r="E38">
        <v>20</v>
      </c>
      <c r="F38">
        <v>0</v>
      </c>
      <c r="G38">
        <v>0</v>
      </c>
      <c r="H38">
        <v>35500</v>
      </c>
      <c r="I38" t="str">
        <f>TEXT(RTN_AND_ALIBAG_MARKET_SALES[[#This Row],[DATE]],"mmm")</f>
        <v>Sep</v>
      </c>
      <c r="J38" t="str">
        <f>TRIM(RTN_AND_ALIBAG_MARKET_SALES[[#This Row],[NICK NAME]])</f>
        <v>AS</v>
      </c>
    </row>
    <row r="39" spans="1:10" x14ac:dyDescent="0.25">
      <c r="A39">
        <v>38</v>
      </c>
      <c r="B39" s="1">
        <v>45553</v>
      </c>
      <c r="C39" t="s">
        <v>23</v>
      </c>
      <c r="D39" t="s">
        <v>24</v>
      </c>
      <c r="E39">
        <v>1</v>
      </c>
      <c r="F39">
        <v>0</v>
      </c>
      <c r="G39">
        <v>0</v>
      </c>
      <c r="H39">
        <v>2000</v>
      </c>
      <c r="I39" t="str">
        <f>TEXT(RTN_AND_ALIBAG_MARKET_SALES[[#This Row],[DATE]],"mmm")</f>
        <v>Sep</v>
      </c>
      <c r="J39" t="str">
        <f>TRIM(RTN_AND_ALIBAG_MARKET_SALES[[#This Row],[NICK NAME]])</f>
        <v>CHS</v>
      </c>
    </row>
    <row r="40" spans="1:10" x14ac:dyDescent="0.25">
      <c r="A40">
        <v>39</v>
      </c>
      <c r="B40" s="1">
        <v>45553</v>
      </c>
      <c r="C40" t="s">
        <v>79</v>
      </c>
      <c r="D40" t="s">
        <v>55</v>
      </c>
      <c r="E40">
        <v>2</v>
      </c>
      <c r="F40">
        <v>0</v>
      </c>
      <c r="G40">
        <v>0</v>
      </c>
      <c r="H40">
        <v>3500</v>
      </c>
      <c r="I40" t="str">
        <f>TEXT(RTN_AND_ALIBAG_MARKET_SALES[[#This Row],[DATE]],"mmm")</f>
        <v>Sep</v>
      </c>
      <c r="J40" t="str">
        <f>TRIM(RTN_AND_ALIBAG_MARKET_SALES[[#This Row],[NICK NAME]])</f>
        <v>EBF</v>
      </c>
    </row>
    <row r="41" spans="1:10" x14ac:dyDescent="0.25">
      <c r="A41">
        <v>40</v>
      </c>
      <c r="B41" s="1">
        <v>45553</v>
      </c>
      <c r="C41" t="s">
        <v>80</v>
      </c>
      <c r="D41" t="s">
        <v>81</v>
      </c>
      <c r="E41">
        <v>52</v>
      </c>
      <c r="F41">
        <v>0</v>
      </c>
      <c r="G41">
        <v>0</v>
      </c>
      <c r="H41">
        <v>15820</v>
      </c>
      <c r="I41" t="str">
        <f>TEXT(RTN_AND_ALIBAG_MARKET_SALES[[#This Row],[DATE]],"mmm")</f>
        <v>Sep</v>
      </c>
      <c r="J41" t="str">
        <f>TRIM(RTN_AND_ALIBAG_MARKET_SALES[[#This Row],[NICK NAME]])</f>
        <v>NFT</v>
      </c>
    </row>
    <row r="42" spans="1:10" x14ac:dyDescent="0.25">
      <c r="A42">
        <v>41</v>
      </c>
      <c r="B42" s="1">
        <v>45554</v>
      </c>
      <c r="C42" t="s">
        <v>77</v>
      </c>
      <c r="D42" t="s">
        <v>20</v>
      </c>
      <c r="E42">
        <v>41</v>
      </c>
      <c r="F42">
        <v>0</v>
      </c>
      <c r="G42">
        <v>0</v>
      </c>
      <c r="H42">
        <v>85400</v>
      </c>
      <c r="I42" t="str">
        <f>TEXT(RTN_AND_ALIBAG_MARKET_SALES[[#This Row],[DATE]],"mmm")</f>
        <v>Sep</v>
      </c>
      <c r="J42" t="str">
        <f>TRIM(RTN_AND_ALIBAG_MARKET_SALES[[#This Row],[NICK NAME]])</f>
        <v>RSF</v>
      </c>
    </row>
    <row r="43" spans="1:10" x14ac:dyDescent="0.25">
      <c r="A43">
        <v>42</v>
      </c>
      <c r="B43" s="1">
        <v>45554</v>
      </c>
      <c r="C43" t="s">
        <v>78</v>
      </c>
      <c r="D43" t="s">
        <v>45</v>
      </c>
      <c r="E43">
        <v>40</v>
      </c>
      <c r="F43">
        <v>0</v>
      </c>
      <c r="G43">
        <v>0</v>
      </c>
      <c r="H43">
        <v>84800</v>
      </c>
      <c r="I43" t="str">
        <f>TEXT(RTN_AND_ALIBAG_MARKET_SALES[[#This Row],[DATE]],"mmm")</f>
        <v>Sep</v>
      </c>
      <c r="J43" t="str">
        <f>TRIM(RTN_AND_ALIBAG_MARKET_SALES[[#This Row],[NICK NAME]])</f>
        <v>BISMI</v>
      </c>
    </row>
    <row r="44" spans="1:10" x14ac:dyDescent="0.25">
      <c r="A44">
        <v>43</v>
      </c>
      <c r="B44" s="1">
        <v>45555</v>
      </c>
      <c r="C44" t="s">
        <v>171</v>
      </c>
      <c r="D44" t="s">
        <v>53</v>
      </c>
      <c r="E44">
        <v>47</v>
      </c>
      <c r="F44">
        <v>0</v>
      </c>
      <c r="G44">
        <v>0</v>
      </c>
      <c r="H44">
        <v>73100</v>
      </c>
      <c r="I44" t="str">
        <f>TEXT(RTN_AND_ALIBAG_MARKET_SALES[[#This Row],[DATE]],"mmm")</f>
        <v>Sep</v>
      </c>
      <c r="J44" t="str">
        <f>TRIM(RTN_AND_ALIBAG_MARKET_SALES[[#This Row],[NICK NAME]])</f>
        <v>AFK</v>
      </c>
    </row>
    <row r="45" spans="1:10" x14ac:dyDescent="0.25">
      <c r="A45">
        <v>44</v>
      </c>
      <c r="B45" s="1">
        <v>45555</v>
      </c>
      <c r="C45" t="s">
        <v>19</v>
      </c>
      <c r="D45" t="s">
        <v>20</v>
      </c>
      <c r="E45">
        <v>96</v>
      </c>
      <c r="F45">
        <v>0</v>
      </c>
      <c r="G45">
        <v>0</v>
      </c>
      <c r="H45">
        <v>174400</v>
      </c>
      <c r="I45" t="str">
        <f>TEXT(RTN_AND_ALIBAG_MARKET_SALES[[#This Row],[DATE]],"mmm")</f>
        <v>Sep</v>
      </c>
      <c r="J45" t="str">
        <f>TRIM(RTN_AND_ALIBAG_MARKET_SALES[[#This Row],[NICK NAME]])</f>
        <v>RSF</v>
      </c>
    </row>
    <row r="46" spans="1:10" x14ac:dyDescent="0.25">
      <c r="A46">
        <v>45</v>
      </c>
      <c r="B46" s="1">
        <v>45555</v>
      </c>
      <c r="C46" t="s">
        <v>21</v>
      </c>
      <c r="D46" t="s">
        <v>22</v>
      </c>
      <c r="E46">
        <v>30</v>
      </c>
      <c r="F46">
        <v>0</v>
      </c>
      <c r="G46">
        <v>0</v>
      </c>
      <c r="H46">
        <v>48000</v>
      </c>
      <c r="I46" t="str">
        <f>TEXT(RTN_AND_ALIBAG_MARKET_SALES[[#This Row],[DATE]],"mmm")</f>
        <v>Sep</v>
      </c>
      <c r="J46" t="str">
        <f>TRIM(RTN_AND_ALIBAG_MARKET_SALES[[#This Row],[NICK NAME]])</f>
        <v>YSN</v>
      </c>
    </row>
    <row r="47" spans="1:10" x14ac:dyDescent="0.25">
      <c r="A47">
        <v>46</v>
      </c>
      <c r="B47" s="1">
        <v>45555</v>
      </c>
      <c r="C47" t="s">
        <v>13</v>
      </c>
      <c r="D47" t="s">
        <v>14</v>
      </c>
      <c r="E47">
        <v>35</v>
      </c>
      <c r="F47">
        <v>3000</v>
      </c>
      <c r="G47">
        <v>3</v>
      </c>
      <c r="H47">
        <v>56500</v>
      </c>
      <c r="I47" t="str">
        <f>TEXT(RTN_AND_ALIBAG_MARKET_SALES[[#This Row],[DATE]],"mmm")</f>
        <v>Sep</v>
      </c>
      <c r="J47" t="str">
        <f>TRIM(RTN_AND_ALIBAG_MARKET_SALES[[#This Row],[NICK NAME]])</f>
        <v>SHA</v>
      </c>
    </row>
    <row r="48" spans="1:10" x14ac:dyDescent="0.25">
      <c r="A48">
        <v>47</v>
      </c>
      <c r="B48" s="1">
        <v>45555</v>
      </c>
      <c r="C48" t="s">
        <v>9</v>
      </c>
      <c r="D48" t="s">
        <v>10</v>
      </c>
      <c r="E48">
        <v>16</v>
      </c>
      <c r="F48">
        <v>0</v>
      </c>
      <c r="G48">
        <v>0</v>
      </c>
      <c r="H48">
        <v>15800</v>
      </c>
      <c r="I48" t="str">
        <f>TEXT(RTN_AND_ALIBAG_MARKET_SALES[[#This Row],[DATE]],"mmm")</f>
        <v>Sep</v>
      </c>
      <c r="J48" t="str">
        <f>TRIM(RTN_AND_ALIBAG_MARKET_SALES[[#This Row],[NICK NAME]])</f>
        <v>TSF</v>
      </c>
    </row>
    <row r="49" spans="1:10" x14ac:dyDescent="0.25">
      <c r="A49">
        <v>48</v>
      </c>
      <c r="B49" s="1">
        <v>45555</v>
      </c>
      <c r="C49" t="s">
        <v>15</v>
      </c>
      <c r="D49" t="s">
        <v>16</v>
      </c>
      <c r="E49">
        <v>19</v>
      </c>
      <c r="F49">
        <v>0</v>
      </c>
      <c r="G49">
        <v>0</v>
      </c>
      <c r="H49">
        <v>25800</v>
      </c>
      <c r="I49" t="str">
        <f>TEXT(RTN_AND_ALIBAG_MARKET_SALES[[#This Row],[DATE]],"mmm")</f>
        <v>Sep</v>
      </c>
      <c r="J49" t="str">
        <f>TRIM(RTN_AND_ALIBAG_MARKET_SALES[[#This Row],[NICK NAME]])</f>
        <v>LF</v>
      </c>
    </row>
    <row r="50" spans="1:10" x14ac:dyDescent="0.25">
      <c r="A50">
        <v>49</v>
      </c>
      <c r="B50" s="1">
        <v>45555</v>
      </c>
      <c r="C50" t="s">
        <v>17</v>
      </c>
      <c r="D50" t="s">
        <v>76</v>
      </c>
      <c r="E50">
        <v>2</v>
      </c>
      <c r="F50">
        <v>0</v>
      </c>
      <c r="G50">
        <v>0</v>
      </c>
      <c r="H50">
        <v>4000</v>
      </c>
      <c r="I50" t="str">
        <f>TEXT(RTN_AND_ALIBAG_MARKET_SALES[[#This Row],[DATE]],"mmm")</f>
        <v>Sep</v>
      </c>
      <c r="J50" t="str">
        <f>TRIM(RTN_AND_ALIBAG_MARKET_SALES[[#This Row],[NICK NAME]])</f>
        <v>NB-BISMI</v>
      </c>
    </row>
    <row r="51" spans="1:10" x14ac:dyDescent="0.25">
      <c r="A51">
        <v>50</v>
      </c>
      <c r="B51" s="1">
        <v>45556</v>
      </c>
      <c r="C51" t="s">
        <v>46</v>
      </c>
      <c r="D51" t="s">
        <v>47</v>
      </c>
      <c r="E51">
        <v>12</v>
      </c>
      <c r="F51">
        <v>0</v>
      </c>
      <c r="G51">
        <v>0</v>
      </c>
      <c r="H51">
        <v>23550</v>
      </c>
      <c r="I51" t="str">
        <f>TEXT(RTN_AND_ALIBAG_MARKET_SALES[[#This Row],[DATE]],"mmm")</f>
        <v>Sep</v>
      </c>
      <c r="J51" t="str">
        <f>TRIM(RTN_AND_ALIBAG_MARKET_SALES[[#This Row],[NICK NAME]])</f>
        <v>AS</v>
      </c>
    </row>
    <row r="52" spans="1:10" x14ac:dyDescent="0.25">
      <c r="A52">
        <v>51</v>
      </c>
      <c r="B52" s="1">
        <v>45556</v>
      </c>
      <c r="C52" t="s">
        <v>82</v>
      </c>
      <c r="D52" t="s">
        <v>7</v>
      </c>
      <c r="E52">
        <v>40</v>
      </c>
      <c r="F52">
        <v>0</v>
      </c>
      <c r="G52">
        <v>0</v>
      </c>
      <c r="H52">
        <v>74650</v>
      </c>
      <c r="I52" t="str">
        <f>TEXT(RTN_AND_ALIBAG_MARKET_SALES[[#This Row],[DATE]],"mmm")</f>
        <v>Sep</v>
      </c>
      <c r="J52" t="str">
        <f>TRIM(RTN_AND_ALIBAG_MARKET_SALES[[#This Row],[NICK NAME]])</f>
        <v>K-PALLI</v>
      </c>
    </row>
    <row r="53" spans="1:10" x14ac:dyDescent="0.25">
      <c r="A53">
        <v>52</v>
      </c>
      <c r="B53" s="1">
        <v>45557</v>
      </c>
      <c r="C53" t="s">
        <v>83</v>
      </c>
      <c r="D53" t="s">
        <v>84</v>
      </c>
      <c r="E53">
        <v>6</v>
      </c>
      <c r="F53">
        <v>0</v>
      </c>
      <c r="G53">
        <v>0</v>
      </c>
      <c r="H53">
        <v>9600</v>
      </c>
      <c r="I53" t="str">
        <f>TEXT(RTN_AND_ALIBAG_MARKET_SALES[[#This Row],[DATE]],"mmm")</f>
        <v>Sep</v>
      </c>
      <c r="J53" t="str">
        <f>TRIM(RTN_AND_ALIBAG_MARKET_SALES[[#This Row],[NICK NAME]])</f>
        <v>JNS</v>
      </c>
    </row>
    <row r="54" spans="1:10" x14ac:dyDescent="0.25">
      <c r="A54">
        <v>53</v>
      </c>
      <c r="B54" s="1">
        <v>45557</v>
      </c>
      <c r="C54" t="s">
        <v>9</v>
      </c>
      <c r="D54" t="s">
        <v>10</v>
      </c>
      <c r="E54">
        <v>18</v>
      </c>
      <c r="F54">
        <v>0</v>
      </c>
      <c r="G54">
        <v>0</v>
      </c>
      <c r="H54">
        <v>30100</v>
      </c>
      <c r="I54" t="str">
        <f>TEXT(RTN_AND_ALIBAG_MARKET_SALES[[#This Row],[DATE]],"mmm")</f>
        <v>Sep</v>
      </c>
      <c r="J54" t="str">
        <f>TRIM(RTN_AND_ALIBAG_MARKET_SALES[[#This Row],[NICK NAME]])</f>
        <v>TSF</v>
      </c>
    </row>
    <row r="55" spans="1:10" x14ac:dyDescent="0.25">
      <c r="A55">
        <v>54</v>
      </c>
      <c r="B55" s="1">
        <v>45558</v>
      </c>
      <c r="C55" t="s">
        <v>85</v>
      </c>
      <c r="D55" t="s">
        <v>73</v>
      </c>
      <c r="E55">
        <v>2</v>
      </c>
      <c r="F55">
        <v>0</v>
      </c>
      <c r="G55">
        <v>0</v>
      </c>
      <c r="H55">
        <v>4900</v>
      </c>
      <c r="I55" t="str">
        <f>TEXT(RTN_AND_ALIBAG_MARKET_SALES[[#This Row],[DATE]],"mmm")</f>
        <v>Sep</v>
      </c>
      <c r="J55" t="str">
        <f>TRIM(RTN_AND_ALIBAG_MARKET_SALES[[#This Row],[NICK NAME]])</f>
        <v>BH</v>
      </c>
    </row>
    <row r="56" spans="1:10" x14ac:dyDescent="0.25">
      <c r="A56">
        <v>55</v>
      </c>
      <c r="B56" s="1">
        <v>45558</v>
      </c>
      <c r="C56" t="s">
        <v>13</v>
      </c>
      <c r="D56" t="s">
        <v>14</v>
      </c>
      <c r="E56">
        <v>30</v>
      </c>
      <c r="F56">
        <v>3000</v>
      </c>
      <c r="G56">
        <v>4</v>
      </c>
      <c r="H56">
        <v>34250</v>
      </c>
      <c r="I56" t="str">
        <f>TEXT(RTN_AND_ALIBAG_MARKET_SALES[[#This Row],[DATE]],"mmm")</f>
        <v>Sep</v>
      </c>
      <c r="J56" t="str">
        <f>TRIM(RTN_AND_ALIBAG_MARKET_SALES[[#This Row],[NICK NAME]])</f>
        <v>SHA</v>
      </c>
    </row>
    <row r="57" spans="1:10" x14ac:dyDescent="0.25">
      <c r="A57">
        <v>56</v>
      </c>
      <c r="B57" s="1">
        <v>45558</v>
      </c>
      <c r="C57" t="s">
        <v>17</v>
      </c>
      <c r="D57" t="s">
        <v>45</v>
      </c>
      <c r="E57">
        <v>100</v>
      </c>
      <c r="F57">
        <v>0</v>
      </c>
      <c r="G57">
        <v>0</v>
      </c>
      <c r="H57">
        <v>194000</v>
      </c>
      <c r="I57" t="str">
        <f>TEXT(RTN_AND_ALIBAG_MARKET_SALES[[#This Row],[DATE]],"mmm")</f>
        <v>Sep</v>
      </c>
      <c r="J57" t="str">
        <f>TRIM(RTN_AND_ALIBAG_MARKET_SALES[[#This Row],[NICK NAME]])</f>
        <v>BISMI</v>
      </c>
    </row>
    <row r="58" spans="1:10" x14ac:dyDescent="0.25">
      <c r="A58">
        <v>57</v>
      </c>
      <c r="B58" s="1">
        <v>45558</v>
      </c>
      <c r="C58" t="s">
        <v>87</v>
      </c>
      <c r="D58" t="s">
        <v>88</v>
      </c>
      <c r="E58">
        <v>15</v>
      </c>
      <c r="F58">
        <v>0</v>
      </c>
      <c r="G58">
        <v>0</v>
      </c>
      <c r="H58">
        <v>24150</v>
      </c>
      <c r="I58" t="str">
        <f>TEXT(RTN_AND_ALIBAG_MARKET_SALES[[#This Row],[DATE]],"mmm")</f>
        <v>Sep</v>
      </c>
      <c r="J58" t="str">
        <f>TRIM(RTN_AND_ALIBAG_MARKET_SALES[[#This Row],[NICK NAME]])</f>
        <v>KMK</v>
      </c>
    </row>
    <row r="59" spans="1:10" x14ac:dyDescent="0.25">
      <c r="A59">
        <v>58</v>
      </c>
      <c r="B59" s="1">
        <v>45558</v>
      </c>
      <c r="C59" t="s">
        <v>89</v>
      </c>
      <c r="D59" t="s">
        <v>90</v>
      </c>
      <c r="E59">
        <v>63</v>
      </c>
      <c r="F59">
        <v>0</v>
      </c>
      <c r="G59">
        <v>0</v>
      </c>
      <c r="H59">
        <v>7820</v>
      </c>
      <c r="I59" t="str">
        <f>TEXT(RTN_AND_ALIBAG_MARKET_SALES[[#This Row],[DATE]],"mmm")</f>
        <v>Sep</v>
      </c>
      <c r="J59" t="str">
        <f>TRIM(RTN_AND_ALIBAG_MARKET_SALES[[#This Row],[NICK NAME]])</f>
        <v>TTS</v>
      </c>
    </row>
    <row r="60" spans="1:10" x14ac:dyDescent="0.25">
      <c r="A60">
        <v>59</v>
      </c>
      <c r="B60" s="1">
        <v>45559</v>
      </c>
      <c r="C60" t="s">
        <v>86</v>
      </c>
      <c r="D60" t="s">
        <v>7</v>
      </c>
      <c r="E60">
        <v>2</v>
      </c>
      <c r="F60">
        <v>0</v>
      </c>
      <c r="G60">
        <v>0</v>
      </c>
      <c r="H60">
        <v>4050</v>
      </c>
      <c r="I60" t="str">
        <f>TEXT(RTN_AND_ALIBAG_MARKET_SALES[[#This Row],[DATE]],"mmm")</f>
        <v>Sep</v>
      </c>
      <c r="J60" t="str">
        <f>TRIM(RTN_AND_ALIBAG_MARKET_SALES[[#This Row],[NICK NAME]])</f>
        <v>K-PALLI</v>
      </c>
    </row>
    <row r="61" spans="1:10" x14ac:dyDescent="0.25">
      <c r="A61">
        <v>60</v>
      </c>
      <c r="B61" s="1">
        <v>45559</v>
      </c>
      <c r="C61" t="s">
        <v>91</v>
      </c>
      <c r="D61" t="s">
        <v>92</v>
      </c>
      <c r="E61">
        <v>20</v>
      </c>
      <c r="F61">
        <v>0</v>
      </c>
      <c r="G61">
        <v>0</v>
      </c>
      <c r="H61">
        <v>29130</v>
      </c>
      <c r="I61" t="str">
        <f>TEXT(RTN_AND_ALIBAG_MARKET_SALES[[#This Row],[DATE]],"mmm")</f>
        <v>Sep</v>
      </c>
      <c r="J61" t="str">
        <f>TRIM(RTN_AND_ALIBAG_MARKET_SALES[[#This Row],[NICK NAME]])</f>
        <v>PPC</v>
      </c>
    </row>
    <row r="62" spans="1:10" x14ac:dyDescent="0.25">
      <c r="A62">
        <v>61</v>
      </c>
      <c r="B62" s="1">
        <v>45559</v>
      </c>
      <c r="C62" t="s">
        <v>93</v>
      </c>
      <c r="D62" t="s">
        <v>94</v>
      </c>
      <c r="E62">
        <v>48</v>
      </c>
      <c r="F62">
        <v>0</v>
      </c>
      <c r="G62">
        <v>0</v>
      </c>
      <c r="H62">
        <v>65750</v>
      </c>
      <c r="I62" t="str">
        <f>TEXT(RTN_AND_ALIBAG_MARKET_SALES[[#This Row],[DATE]],"mmm")</f>
        <v>Sep</v>
      </c>
      <c r="J62" t="str">
        <f>TRIM(RTN_AND_ALIBAG_MARKET_SALES[[#This Row],[NICK NAME]])</f>
        <v>OMS</v>
      </c>
    </row>
    <row r="63" spans="1:10" x14ac:dyDescent="0.25">
      <c r="A63">
        <v>62</v>
      </c>
      <c r="B63" s="1">
        <v>45559</v>
      </c>
      <c r="C63" t="s">
        <v>95</v>
      </c>
      <c r="D63" t="s">
        <v>96</v>
      </c>
      <c r="E63">
        <v>20</v>
      </c>
      <c r="F63">
        <v>0</v>
      </c>
      <c r="G63">
        <v>0</v>
      </c>
      <c r="H63">
        <v>27360</v>
      </c>
      <c r="I63" t="str">
        <f>TEXT(RTN_AND_ALIBAG_MARKET_SALES[[#This Row],[DATE]],"mmm")</f>
        <v>Sep</v>
      </c>
      <c r="J63" t="str">
        <f>TRIM(RTN_AND_ALIBAG_MARKET_SALES[[#This Row],[NICK NAME]])</f>
        <v>BFC</v>
      </c>
    </row>
    <row r="64" spans="1:10" x14ac:dyDescent="0.25">
      <c r="A64">
        <v>63</v>
      </c>
      <c r="B64" s="1">
        <v>45559</v>
      </c>
      <c r="C64" t="s">
        <v>97</v>
      </c>
      <c r="D64" t="s">
        <v>98</v>
      </c>
      <c r="E64">
        <v>5</v>
      </c>
      <c r="F64">
        <v>0</v>
      </c>
      <c r="G64">
        <v>0</v>
      </c>
      <c r="H64">
        <v>7830</v>
      </c>
      <c r="I64" t="str">
        <f>TEXT(RTN_AND_ALIBAG_MARKET_SALES[[#This Row],[DATE]],"mmm")</f>
        <v>Sep</v>
      </c>
      <c r="J64" t="str">
        <f>TRIM(RTN_AND_ALIBAG_MARKET_SALES[[#This Row],[NICK NAME]])</f>
        <v>FRS</v>
      </c>
    </row>
    <row r="65" spans="1:10" x14ac:dyDescent="0.25">
      <c r="A65">
        <v>64</v>
      </c>
      <c r="B65" s="1">
        <v>45559</v>
      </c>
      <c r="C65" t="s">
        <v>91</v>
      </c>
      <c r="D65" t="s">
        <v>99</v>
      </c>
      <c r="E65">
        <v>10</v>
      </c>
      <c r="F65">
        <v>0</v>
      </c>
      <c r="G65">
        <v>0</v>
      </c>
      <c r="H65">
        <v>4050</v>
      </c>
      <c r="I65" t="str">
        <f>TEXT(RTN_AND_ALIBAG_MARKET_SALES[[#This Row],[DATE]],"mmm")</f>
        <v>Sep</v>
      </c>
      <c r="J65" t="str">
        <f>TRIM(RTN_AND_ALIBAG_MARKET_SALES[[#This Row],[NICK NAME]])</f>
        <v>K.M.K</v>
      </c>
    </row>
    <row r="66" spans="1:10" x14ac:dyDescent="0.25">
      <c r="A66">
        <v>65</v>
      </c>
      <c r="B66" s="1">
        <v>45560</v>
      </c>
      <c r="C66" t="s">
        <v>102</v>
      </c>
      <c r="D66" t="s">
        <v>103</v>
      </c>
      <c r="E66">
        <v>5</v>
      </c>
      <c r="F66">
        <v>0</v>
      </c>
      <c r="G66">
        <v>0</v>
      </c>
      <c r="H66">
        <v>15400</v>
      </c>
      <c r="I66" t="str">
        <f>TEXT(RTN_AND_ALIBAG_MARKET_SALES[[#This Row],[DATE]],"mmm")</f>
        <v>Sep</v>
      </c>
      <c r="J66" t="str">
        <f>TRIM(RTN_AND_ALIBAG_MARKET_SALES[[#This Row],[NICK NAME]])</f>
        <v>MKS</v>
      </c>
    </row>
    <row r="67" spans="1:10" x14ac:dyDescent="0.25">
      <c r="A67">
        <v>66</v>
      </c>
      <c r="B67" s="1">
        <v>45560</v>
      </c>
      <c r="C67" t="s">
        <v>144</v>
      </c>
      <c r="D67" t="s">
        <v>105</v>
      </c>
      <c r="E67">
        <v>15</v>
      </c>
      <c r="F67">
        <v>2000</v>
      </c>
      <c r="G67">
        <v>7</v>
      </c>
      <c r="H67">
        <v>43950</v>
      </c>
      <c r="I67" t="str">
        <f>TEXT(RTN_AND_ALIBAG_MARKET_SALES[[#This Row],[DATE]],"mmm")</f>
        <v>Sep</v>
      </c>
      <c r="J67" t="str">
        <f>TRIM(RTN_AND_ALIBAG_MARKET_SALES[[#This Row],[NICK NAME]])</f>
        <v>KMG</v>
      </c>
    </row>
    <row r="68" spans="1:10" x14ac:dyDescent="0.25">
      <c r="A68">
        <v>67</v>
      </c>
      <c r="B68" s="1">
        <v>45560</v>
      </c>
      <c r="C68" t="s">
        <v>87</v>
      </c>
      <c r="D68" t="s">
        <v>88</v>
      </c>
      <c r="E68">
        <v>51</v>
      </c>
      <c r="F68">
        <v>0</v>
      </c>
      <c r="G68">
        <v>0</v>
      </c>
      <c r="H68">
        <v>116250</v>
      </c>
      <c r="I68" t="str">
        <f>TEXT(RTN_AND_ALIBAG_MARKET_SALES[[#This Row],[DATE]],"mmm")</f>
        <v>Sep</v>
      </c>
      <c r="J68" t="str">
        <f>TRIM(RTN_AND_ALIBAG_MARKET_SALES[[#This Row],[NICK NAME]])</f>
        <v>KMK</v>
      </c>
    </row>
    <row r="69" spans="1:10" x14ac:dyDescent="0.25">
      <c r="A69">
        <v>68</v>
      </c>
      <c r="B69" s="1">
        <v>45560</v>
      </c>
      <c r="C69" t="s">
        <v>122</v>
      </c>
      <c r="D69" t="s">
        <v>36</v>
      </c>
      <c r="E69">
        <v>54</v>
      </c>
      <c r="F69">
        <v>0</v>
      </c>
      <c r="G69">
        <v>0</v>
      </c>
      <c r="H69">
        <v>146900</v>
      </c>
      <c r="I69" t="str">
        <f>TEXT(RTN_AND_ALIBAG_MARKET_SALES[[#This Row],[DATE]],"mmm")</f>
        <v>Sep</v>
      </c>
      <c r="J69" t="str">
        <f>TRIM(RTN_AND_ALIBAG_MARKET_SALES[[#This Row],[NICK NAME]])</f>
        <v>MKM</v>
      </c>
    </row>
    <row r="70" spans="1:10" x14ac:dyDescent="0.25">
      <c r="A70">
        <v>69</v>
      </c>
      <c r="B70" s="1">
        <v>45560</v>
      </c>
      <c r="C70" t="s">
        <v>44</v>
      </c>
      <c r="D70" t="s">
        <v>45</v>
      </c>
      <c r="E70">
        <v>72</v>
      </c>
      <c r="F70">
        <v>0</v>
      </c>
      <c r="G70">
        <v>0</v>
      </c>
      <c r="H70">
        <v>140600</v>
      </c>
      <c r="I70" t="str">
        <f>TEXT(RTN_AND_ALIBAG_MARKET_SALES[[#This Row],[DATE]],"mmm")</f>
        <v>Sep</v>
      </c>
      <c r="J70" t="str">
        <f>TRIM(RTN_AND_ALIBAG_MARKET_SALES[[#This Row],[NICK NAME]])</f>
        <v>BISMI</v>
      </c>
    </row>
    <row r="71" spans="1:10" x14ac:dyDescent="0.25">
      <c r="A71">
        <v>70</v>
      </c>
      <c r="B71" s="1">
        <v>45561</v>
      </c>
      <c r="C71" t="s">
        <v>100</v>
      </c>
      <c r="D71" t="s">
        <v>27</v>
      </c>
      <c r="E71">
        <v>13</v>
      </c>
      <c r="F71">
        <v>0</v>
      </c>
      <c r="G71">
        <v>0</v>
      </c>
      <c r="H71">
        <v>2800</v>
      </c>
      <c r="I71" t="str">
        <f>TEXT(RTN_AND_ALIBAG_MARKET_SALES[[#This Row],[DATE]],"mmm")</f>
        <v>Sep</v>
      </c>
      <c r="J71" t="str">
        <f>TRIM(RTN_AND_ALIBAG_MARKET_SALES[[#This Row],[NICK NAME]])</f>
        <v>KNH</v>
      </c>
    </row>
    <row r="72" spans="1:10" x14ac:dyDescent="0.25">
      <c r="A72">
        <v>71</v>
      </c>
      <c r="B72" s="1">
        <v>45561</v>
      </c>
      <c r="C72" t="s">
        <v>102</v>
      </c>
      <c r="D72" t="s">
        <v>103</v>
      </c>
      <c r="E72">
        <v>10</v>
      </c>
      <c r="F72">
        <v>0</v>
      </c>
      <c r="G72">
        <v>0</v>
      </c>
      <c r="H72">
        <v>20200</v>
      </c>
      <c r="I72" t="str">
        <f>TEXT(RTN_AND_ALIBAG_MARKET_SALES[[#This Row],[DATE]],"mmm")</f>
        <v>Sep</v>
      </c>
      <c r="J72" t="str">
        <f>TRIM(RTN_AND_ALIBAG_MARKET_SALES[[#This Row],[NICK NAME]])</f>
        <v>MKS</v>
      </c>
    </row>
    <row r="73" spans="1:10" x14ac:dyDescent="0.25">
      <c r="A73">
        <v>72</v>
      </c>
      <c r="B73" s="1">
        <v>45561</v>
      </c>
      <c r="C73" t="s">
        <v>104</v>
      </c>
      <c r="D73" t="s">
        <v>105</v>
      </c>
      <c r="E73">
        <v>15</v>
      </c>
      <c r="F73">
        <v>2000</v>
      </c>
      <c r="G73">
        <v>8</v>
      </c>
      <c r="H73">
        <v>30600</v>
      </c>
      <c r="I73" t="str">
        <f>TEXT(RTN_AND_ALIBAG_MARKET_SALES[[#This Row],[DATE]],"mmm")</f>
        <v>Sep</v>
      </c>
      <c r="J73" t="str">
        <f>TRIM(RTN_AND_ALIBAG_MARKET_SALES[[#This Row],[NICK NAME]])</f>
        <v>KMG</v>
      </c>
    </row>
    <row r="74" spans="1:10" x14ac:dyDescent="0.25">
      <c r="A74">
        <v>73</v>
      </c>
      <c r="B74" s="1">
        <v>45561</v>
      </c>
      <c r="C74" t="s">
        <v>106</v>
      </c>
      <c r="D74" t="s">
        <v>34</v>
      </c>
      <c r="E74">
        <v>33</v>
      </c>
      <c r="F74">
        <v>2000</v>
      </c>
      <c r="G74">
        <v>2</v>
      </c>
      <c r="H74">
        <v>65200</v>
      </c>
      <c r="I74" t="str">
        <f>TEXT(RTN_AND_ALIBAG_MARKET_SALES[[#This Row],[DATE]],"mmm")</f>
        <v>Sep</v>
      </c>
      <c r="J74" t="str">
        <f>TRIM(RTN_AND_ALIBAG_MARKET_SALES[[#This Row],[NICK NAME]])</f>
        <v>CM</v>
      </c>
    </row>
    <row r="75" spans="1:10" x14ac:dyDescent="0.25">
      <c r="A75">
        <v>74</v>
      </c>
      <c r="B75" s="1">
        <v>45561</v>
      </c>
      <c r="C75" t="s">
        <v>28</v>
      </c>
      <c r="D75" t="s">
        <v>53</v>
      </c>
      <c r="E75">
        <v>10</v>
      </c>
      <c r="F75">
        <v>0</v>
      </c>
      <c r="G75">
        <v>0</v>
      </c>
      <c r="H75">
        <v>26100</v>
      </c>
      <c r="I75" t="str">
        <f>TEXT(RTN_AND_ALIBAG_MARKET_SALES[[#This Row],[DATE]],"mmm")</f>
        <v>Sep</v>
      </c>
      <c r="J75" t="str">
        <f>TRIM(RTN_AND_ALIBAG_MARKET_SALES[[#This Row],[NICK NAME]])</f>
        <v>AFK</v>
      </c>
    </row>
    <row r="76" spans="1:10" x14ac:dyDescent="0.25">
      <c r="A76">
        <v>75</v>
      </c>
      <c r="B76" s="1">
        <v>45562</v>
      </c>
      <c r="C76" t="s">
        <v>101</v>
      </c>
      <c r="D76" t="s">
        <v>31</v>
      </c>
      <c r="E76">
        <v>6</v>
      </c>
      <c r="F76">
        <v>0</v>
      </c>
      <c r="G76">
        <v>0</v>
      </c>
      <c r="H76">
        <v>2300</v>
      </c>
      <c r="I76" t="str">
        <f>TEXT(RTN_AND_ALIBAG_MARKET_SALES[[#This Row],[DATE]],"mmm")</f>
        <v>Sep</v>
      </c>
      <c r="J76" t="str">
        <f>TRIM(RTN_AND_ALIBAG_MARKET_SALES[[#This Row],[NICK NAME]])</f>
        <v>EPN</v>
      </c>
    </row>
    <row r="77" spans="1:10" x14ac:dyDescent="0.25">
      <c r="A77">
        <v>76</v>
      </c>
      <c r="B77" s="1">
        <v>45562</v>
      </c>
      <c r="C77" t="s">
        <v>46</v>
      </c>
      <c r="D77" t="s">
        <v>47</v>
      </c>
      <c r="E77">
        <v>15</v>
      </c>
      <c r="F77">
        <v>0</v>
      </c>
      <c r="G77">
        <v>0</v>
      </c>
      <c r="H77">
        <v>40000</v>
      </c>
      <c r="I77" t="str">
        <f>TEXT(RTN_AND_ALIBAG_MARKET_SALES[[#This Row],[DATE]],"mmm")</f>
        <v>Sep</v>
      </c>
      <c r="J77" t="str">
        <f>TRIM(RTN_AND_ALIBAG_MARKET_SALES[[#This Row],[NICK NAME]])</f>
        <v>AS</v>
      </c>
    </row>
    <row r="78" spans="1:10" x14ac:dyDescent="0.25">
      <c r="A78">
        <v>77</v>
      </c>
      <c r="B78" s="1">
        <v>45562</v>
      </c>
      <c r="C78" t="s">
        <v>107</v>
      </c>
      <c r="D78" t="s">
        <v>84</v>
      </c>
      <c r="E78">
        <v>15</v>
      </c>
      <c r="F78">
        <v>0</v>
      </c>
      <c r="G78">
        <v>0</v>
      </c>
      <c r="H78">
        <v>40050</v>
      </c>
      <c r="I78" t="str">
        <f>TEXT(RTN_AND_ALIBAG_MARKET_SALES[[#This Row],[DATE]],"mmm")</f>
        <v>Sep</v>
      </c>
      <c r="J78" t="str">
        <f>TRIM(RTN_AND_ALIBAG_MARKET_SALES[[#This Row],[NICK NAME]])</f>
        <v>JNS</v>
      </c>
    </row>
    <row r="79" spans="1:10" x14ac:dyDescent="0.25">
      <c r="A79">
        <v>78</v>
      </c>
      <c r="B79" s="1">
        <v>45562</v>
      </c>
      <c r="C79" t="s">
        <v>15</v>
      </c>
      <c r="D79" t="s">
        <v>16</v>
      </c>
      <c r="E79">
        <v>19</v>
      </c>
      <c r="F79">
        <v>0</v>
      </c>
      <c r="G79">
        <v>0</v>
      </c>
      <c r="H79">
        <v>45700</v>
      </c>
      <c r="I79" t="str">
        <f>TEXT(RTN_AND_ALIBAG_MARKET_SALES[[#This Row],[DATE]],"mmm")</f>
        <v>Sep</v>
      </c>
      <c r="J79" t="str">
        <f>TRIM(RTN_AND_ALIBAG_MARKET_SALES[[#This Row],[NICK NAME]])</f>
        <v>LF</v>
      </c>
    </row>
    <row r="80" spans="1:10" x14ac:dyDescent="0.25">
      <c r="A80">
        <v>79</v>
      </c>
      <c r="B80" s="1">
        <v>45562</v>
      </c>
      <c r="C80" t="s">
        <v>108</v>
      </c>
      <c r="D80" t="s">
        <v>68</v>
      </c>
      <c r="E80">
        <v>10</v>
      </c>
      <c r="F80">
        <v>0</v>
      </c>
      <c r="G80">
        <v>0</v>
      </c>
      <c r="H80">
        <v>25950</v>
      </c>
      <c r="I80" t="str">
        <f>TEXT(RTN_AND_ALIBAG_MARKET_SALES[[#This Row],[DATE]],"mmm")</f>
        <v>Sep</v>
      </c>
      <c r="J80" t="str">
        <f>TRIM(RTN_AND_ALIBAG_MARKET_SALES[[#This Row],[NICK NAME]])</f>
        <v>AKT</v>
      </c>
    </row>
    <row r="81" spans="1:10" x14ac:dyDescent="0.25">
      <c r="A81">
        <v>80</v>
      </c>
      <c r="B81" s="1">
        <v>45562</v>
      </c>
      <c r="C81" t="s">
        <v>109</v>
      </c>
      <c r="D81" t="s">
        <v>70</v>
      </c>
      <c r="E81">
        <v>5</v>
      </c>
      <c r="F81">
        <v>0</v>
      </c>
      <c r="G81">
        <v>0</v>
      </c>
      <c r="H81">
        <v>14300</v>
      </c>
      <c r="I81" t="str">
        <f>TEXT(RTN_AND_ALIBAG_MARKET_SALES[[#This Row],[DATE]],"mmm")</f>
        <v>Sep</v>
      </c>
      <c r="J81" t="str">
        <f>TRIM(RTN_AND_ALIBAG_MARKET_SALES[[#This Row],[NICK NAME]])</f>
        <v>FRIENDS</v>
      </c>
    </row>
    <row r="82" spans="1:10" x14ac:dyDescent="0.25">
      <c r="A82">
        <v>81</v>
      </c>
      <c r="B82" s="1">
        <v>45562</v>
      </c>
      <c r="C82" t="s">
        <v>110</v>
      </c>
      <c r="D82" t="s">
        <v>22</v>
      </c>
      <c r="E82">
        <v>20</v>
      </c>
      <c r="F82">
        <v>0</v>
      </c>
      <c r="G82">
        <v>0</v>
      </c>
      <c r="H82">
        <v>43100</v>
      </c>
      <c r="I82" t="str">
        <f>TEXT(RTN_AND_ALIBAG_MARKET_SALES[[#This Row],[DATE]],"mmm")</f>
        <v>Sep</v>
      </c>
      <c r="J82" t="str">
        <f>TRIM(RTN_AND_ALIBAG_MARKET_SALES[[#This Row],[NICK NAME]])</f>
        <v>YSN</v>
      </c>
    </row>
    <row r="83" spans="1:10" x14ac:dyDescent="0.25">
      <c r="A83">
        <v>82</v>
      </c>
      <c r="B83" s="1">
        <v>45562</v>
      </c>
      <c r="C83" t="s">
        <v>13</v>
      </c>
      <c r="D83" t="s">
        <v>14</v>
      </c>
      <c r="E83">
        <v>20</v>
      </c>
      <c r="F83">
        <v>3000</v>
      </c>
      <c r="G83">
        <v>5</v>
      </c>
      <c r="H83">
        <v>40200</v>
      </c>
      <c r="I83" t="str">
        <f>TEXT(RTN_AND_ALIBAG_MARKET_SALES[[#This Row],[DATE]],"mmm")</f>
        <v>Sep</v>
      </c>
      <c r="J83" t="str">
        <f>TRIM(RTN_AND_ALIBAG_MARKET_SALES[[#This Row],[NICK NAME]])</f>
        <v>SHA</v>
      </c>
    </row>
    <row r="84" spans="1:10" x14ac:dyDescent="0.25">
      <c r="A84">
        <v>83</v>
      </c>
      <c r="B84" s="1">
        <v>45563</v>
      </c>
      <c r="C84" t="s">
        <v>111</v>
      </c>
      <c r="D84" t="s">
        <v>112</v>
      </c>
      <c r="E84">
        <v>7</v>
      </c>
      <c r="F84">
        <v>0</v>
      </c>
      <c r="G84">
        <v>0</v>
      </c>
      <c r="H84">
        <v>17300</v>
      </c>
      <c r="I84" t="str">
        <f>TEXT(RTN_AND_ALIBAG_MARKET_SALES[[#This Row],[DATE]],"mmm")</f>
        <v>Sep</v>
      </c>
      <c r="J84" t="str">
        <f>TRIM(RTN_AND_ALIBAG_MARKET_SALES[[#This Row],[NICK NAME]])</f>
        <v>SHAFI</v>
      </c>
    </row>
    <row r="85" spans="1:10" x14ac:dyDescent="0.25">
      <c r="A85">
        <v>84</v>
      </c>
      <c r="B85" s="1">
        <v>45563</v>
      </c>
      <c r="C85" t="s">
        <v>15</v>
      </c>
      <c r="D85" t="s">
        <v>16</v>
      </c>
      <c r="E85">
        <v>8</v>
      </c>
      <c r="F85">
        <v>0</v>
      </c>
      <c r="G85">
        <v>0</v>
      </c>
      <c r="H85">
        <v>18400</v>
      </c>
      <c r="I85" t="str">
        <f>TEXT(RTN_AND_ALIBAG_MARKET_SALES[[#This Row],[DATE]],"mmm")</f>
        <v>Sep</v>
      </c>
      <c r="J85" t="str">
        <f>TRIM(RTN_AND_ALIBAG_MARKET_SALES[[#This Row],[NICK NAME]])</f>
        <v>LF</v>
      </c>
    </row>
    <row r="86" spans="1:10" x14ac:dyDescent="0.25">
      <c r="A86">
        <v>85</v>
      </c>
      <c r="B86" s="1">
        <v>45563</v>
      </c>
      <c r="C86" t="s">
        <v>113</v>
      </c>
      <c r="D86" t="s">
        <v>180</v>
      </c>
      <c r="E86">
        <v>41</v>
      </c>
      <c r="F86">
        <v>0</v>
      </c>
      <c r="G86">
        <v>0</v>
      </c>
      <c r="H86">
        <v>100300</v>
      </c>
      <c r="I86" t="str">
        <f>TEXT(RTN_AND_ALIBAG_MARKET_SALES[[#This Row],[DATE]],"mmm")</f>
        <v>Sep</v>
      </c>
      <c r="J86" t="str">
        <f>TRIM(RTN_AND_ALIBAG_MARKET_SALES[[#This Row],[NICK NAME]])</f>
        <v>ANNAI</v>
      </c>
    </row>
    <row r="87" spans="1:10" x14ac:dyDescent="0.25">
      <c r="A87">
        <v>86</v>
      </c>
      <c r="B87" s="1">
        <v>45566</v>
      </c>
      <c r="C87" t="s">
        <v>77</v>
      </c>
      <c r="D87" t="s">
        <v>20</v>
      </c>
      <c r="E87">
        <v>53</v>
      </c>
      <c r="F87">
        <v>0</v>
      </c>
      <c r="G87">
        <v>0</v>
      </c>
      <c r="H87">
        <v>83400</v>
      </c>
      <c r="I87" t="str">
        <f>TEXT(RTN_AND_ALIBAG_MARKET_SALES[[#This Row],[DATE]],"mmm")</f>
        <v>Oct</v>
      </c>
      <c r="J87" t="str">
        <f>TRIM(RTN_AND_ALIBAG_MARKET_SALES[[#This Row],[NICK NAME]])</f>
        <v>RSF</v>
      </c>
    </row>
    <row r="88" spans="1:10" x14ac:dyDescent="0.25">
      <c r="A88">
        <v>87</v>
      </c>
      <c r="B88" s="1">
        <v>45566</v>
      </c>
      <c r="C88" t="s">
        <v>13</v>
      </c>
      <c r="D88" t="s">
        <v>14</v>
      </c>
      <c r="E88">
        <v>20</v>
      </c>
      <c r="F88">
        <v>3000</v>
      </c>
      <c r="G88">
        <v>6</v>
      </c>
      <c r="H88">
        <v>22600</v>
      </c>
      <c r="I88" t="str">
        <f>TEXT(RTN_AND_ALIBAG_MARKET_SALES[[#This Row],[DATE]],"mmm")</f>
        <v>Oct</v>
      </c>
      <c r="J88" t="str">
        <f>TRIM(RTN_AND_ALIBAG_MARKET_SALES[[#This Row],[NICK NAME]])</f>
        <v>SHA</v>
      </c>
    </row>
    <row r="89" spans="1:10" x14ac:dyDescent="0.25">
      <c r="A89">
        <v>88</v>
      </c>
      <c r="B89" s="1">
        <v>45566</v>
      </c>
      <c r="C89" t="s">
        <v>110</v>
      </c>
      <c r="D89" t="s">
        <v>22</v>
      </c>
      <c r="E89">
        <v>32</v>
      </c>
      <c r="F89">
        <v>0</v>
      </c>
      <c r="G89">
        <v>0</v>
      </c>
      <c r="H89">
        <v>41650</v>
      </c>
      <c r="I89" t="str">
        <f>TEXT(RTN_AND_ALIBAG_MARKET_SALES[[#This Row],[DATE]],"mmm")</f>
        <v>Oct</v>
      </c>
      <c r="J89" t="str">
        <f>TRIM(RTN_AND_ALIBAG_MARKET_SALES[[#This Row],[NICK NAME]])</f>
        <v>YSN</v>
      </c>
    </row>
    <row r="90" spans="1:10" x14ac:dyDescent="0.25">
      <c r="A90">
        <v>89</v>
      </c>
      <c r="B90" s="1">
        <v>45566</v>
      </c>
      <c r="C90" t="s">
        <v>44</v>
      </c>
      <c r="D90" t="s">
        <v>45</v>
      </c>
      <c r="E90">
        <v>54</v>
      </c>
      <c r="F90">
        <v>0</v>
      </c>
      <c r="G90">
        <v>0</v>
      </c>
      <c r="H90">
        <v>75000</v>
      </c>
      <c r="I90" t="str">
        <f>TEXT(RTN_AND_ALIBAG_MARKET_SALES[[#This Row],[DATE]],"mmm")</f>
        <v>Oct</v>
      </c>
      <c r="J90" t="str">
        <f>TRIM(RTN_AND_ALIBAG_MARKET_SALES[[#This Row],[NICK NAME]])</f>
        <v>BISMI</v>
      </c>
    </row>
    <row r="91" spans="1:10" x14ac:dyDescent="0.25">
      <c r="A91">
        <v>90</v>
      </c>
      <c r="B91" s="1">
        <v>45566</v>
      </c>
      <c r="C91" t="s">
        <v>9</v>
      </c>
      <c r="D91" t="s">
        <v>10</v>
      </c>
      <c r="E91">
        <v>39</v>
      </c>
      <c r="F91">
        <v>0</v>
      </c>
      <c r="G91">
        <v>0</v>
      </c>
      <c r="H91">
        <v>40900</v>
      </c>
      <c r="I91" t="str">
        <f>TEXT(RTN_AND_ALIBAG_MARKET_SALES[[#This Row],[DATE]],"mmm")</f>
        <v>Oct</v>
      </c>
      <c r="J91" t="str">
        <f>TRIM(RTN_AND_ALIBAG_MARKET_SALES[[#This Row],[NICK NAME]])</f>
        <v>TSF</v>
      </c>
    </row>
    <row r="92" spans="1:10" x14ac:dyDescent="0.25">
      <c r="A92">
        <v>91</v>
      </c>
      <c r="B92" s="1">
        <v>45567</v>
      </c>
      <c r="C92" t="s">
        <v>108</v>
      </c>
      <c r="D92" t="s">
        <v>68</v>
      </c>
      <c r="E92">
        <v>20</v>
      </c>
      <c r="F92">
        <v>0</v>
      </c>
      <c r="G92">
        <v>0</v>
      </c>
      <c r="H92">
        <v>35900</v>
      </c>
      <c r="I92" t="str">
        <f>TEXT(RTN_AND_ALIBAG_MARKET_SALES[[#This Row],[DATE]],"mmm")</f>
        <v>Oct</v>
      </c>
      <c r="J92" t="str">
        <f>TRIM(RTN_AND_ALIBAG_MARKET_SALES[[#This Row],[NICK NAME]])</f>
        <v>AKT</v>
      </c>
    </row>
    <row r="93" spans="1:10" x14ac:dyDescent="0.25">
      <c r="A93">
        <v>92</v>
      </c>
      <c r="B93" s="1">
        <v>45567</v>
      </c>
      <c r="C93" t="s">
        <v>114</v>
      </c>
      <c r="D93" t="s">
        <v>90</v>
      </c>
      <c r="E93">
        <v>25</v>
      </c>
      <c r="F93">
        <v>0</v>
      </c>
      <c r="G93">
        <v>0</v>
      </c>
      <c r="H93">
        <v>22050</v>
      </c>
      <c r="I93" t="str">
        <f>TEXT(RTN_AND_ALIBAG_MARKET_SALES[[#This Row],[DATE]],"mmm")</f>
        <v>Oct</v>
      </c>
      <c r="J93" t="str">
        <f>TRIM(RTN_AND_ALIBAG_MARKET_SALES[[#This Row],[NICK NAME]])</f>
        <v>TTS</v>
      </c>
    </row>
    <row r="94" spans="1:10" x14ac:dyDescent="0.25">
      <c r="A94">
        <v>93</v>
      </c>
      <c r="B94" s="1">
        <v>45567</v>
      </c>
      <c r="C94" t="s">
        <v>115</v>
      </c>
      <c r="D94" t="s">
        <v>70</v>
      </c>
      <c r="E94">
        <v>15</v>
      </c>
      <c r="F94">
        <v>0</v>
      </c>
      <c r="G94">
        <v>0</v>
      </c>
      <c r="H94">
        <v>24650</v>
      </c>
      <c r="I94" t="str">
        <f>TEXT(RTN_AND_ALIBAG_MARKET_SALES[[#This Row],[DATE]],"mmm")</f>
        <v>Oct</v>
      </c>
      <c r="J94" t="str">
        <f>TRIM(RTN_AND_ALIBAG_MARKET_SALES[[#This Row],[NICK NAME]])</f>
        <v>FRIENDS</v>
      </c>
    </row>
    <row r="95" spans="1:10" x14ac:dyDescent="0.25">
      <c r="A95">
        <v>94</v>
      </c>
      <c r="B95" s="1">
        <v>45567</v>
      </c>
      <c r="C95" t="s">
        <v>46</v>
      </c>
      <c r="D95" t="s">
        <v>47</v>
      </c>
      <c r="E95">
        <v>50</v>
      </c>
      <c r="F95">
        <v>0</v>
      </c>
      <c r="G95">
        <v>0</v>
      </c>
      <c r="H95">
        <v>98700</v>
      </c>
      <c r="I95" t="str">
        <f>TEXT(RTN_AND_ALIBAG_MARKET_SALES[[#This Row],[DATE]],"mmm")</f>
        <v>Oct</v>
      </c>
      <c r="J95" t="str">
        <f>TRIM(RTN_AND_ALIBAG_MARKET_SALES[[#This Row],[NICK NAME]])</f>
        <v>AS</v>
      </c>
    </row>
    <row r="96" spans="1:10" x14ac:dyDescent="0.25">
      <c r="A96">
        <v>95</v>
      </c>
      <c r="B96" s="1">
        <v>45567</v>
      </c>
      <c r="C96" t="s">
        <v>46</v>
      </c>
      <c r="D96" t="s">
        <v>47</v>
      </c>
      <c r="E96">
        <v>4</v>
      </c>
      <c r="F96">
        <v>0</v>
      </c>
      <c r="G96">
        <v>0</v>
      </c>
      <c r="H96">
        <v>7900</v>
      </c>
      <c r="I96" t="str">
        <f>TEXT(RTN_AND_ALIBAG_MARKET_SALES[[#This Row],[DATE]],"mmm")</f>
        <v>Oct</v>
      </c>
      <c r="J96" t="str">
        <f>TRIM(RTN_AND_ALIBAG_MARKET_SALES[[#This Row],[NICK NAME]])</f>
        <v>AS</v>
      </c>
    </row>
    <row r="97" spans="1:10" x14ac:dyDescent="0.25">
      <c r="A97">
        <v>96</v>
      </c>
      <c r="B97" s="1">
        <v>45568</v>
      </c>
      <c r="C97" t="s">
        <v>110</v>
      </c>
      <c r="D97" t="s">
        <v>22</v>
      </c>
      <c r="E97">
        <v>20</v>
      </c>
      <c r="F97">
        <v>0</v>
      </c>
      <c r="G97">
        <v>0</v>
      </c>
      <c r="H97">
        <v>38700</v>
      </c>
      <c r="I97" t="str">
        <f>TEXT(RTN_AND_ALIBAG_MARKET_SALES[[#This Row],[DATE]],"mmm")</f>
        <v>Oct</v>
      </c>
      <c r="J97" t="str">
        <f>TRIM(RTN_AND_ALIBAG_MARKET_SALES[[#This Row],[NICK NAME]])</f>
        <v>YSN</v>
      </c>
    </row>
    <row r="98" spans="1:10" x14ac:dyDescent="0.25">
      <c r="A98">
        <v>97</v>
      </c>
      <c r="B98" s="1">
        <v>45568</v>
      </c>
      <c r="C98" t="s">
        <v>13</v>
      </c>
      <c r="D98" t="s">
        <v>14</v>
      </c>
      <c r="E98">
        <v>20</v>
      </c>
      <c r="F98">
        <v>3000</v>
      </c>
      <c r="G98">
        <v>7</v>
      </c>
      <c r="H98">
        <v>34920</v>
      </c>
      <c r="I98" t="str">
        <f>TEXT(RTN_AND_ALIBAG_MARKET_SALES[[#This Row],[DATE]],"mmm")</f>
        <v>Oct</v>
      </c>
      <c r="J98" t="str">
        <f>TRIM(RTN_AND_ALIBAG_MARKET_SALES[[#This Row],[NICK NAME]])</f>
        <v>SHA</v>
      </c>
    </row>
    <row r="99" spans="1:10" x14ac:dyDescent="0.25">
      <c r="A99">
        <v>98</v>
      </c>
      <c r="B99" s="1">
        <v>45568</v>
      </c>
      <c r="C99" t="s">
        <v>77</v>
      </c>
      <c r="D99" t="s">
        <v>20</v>
      </c>
      <c r="E99">
        <v>55</v>
      </c>
      <c r="F99">
        <v>0</v>
      </c>
      <c r="G99">
        <v>0</v>
      </c>
      <c r="H99">
        <v>108850</v>
      </c>
      <c r="I99" t="str">
        <f>TEXT(RTN_AND_ALIBAG_MARKET_SALES[[#This Row],[DATE]],"mmm")</f>
        <v>Oct</v>
      </c>
      <c r="J99" t="str">
        <f>TRIM(RTN_AND_ALIBAG_MARKET_SALES[[#This Row],[NICK NAME]])</f>
        <v>RSF</v>
      </c>
    </row>
    <row r="100" spans="1:10" x14ac:dyDescent="0.25">
      <c r="A100">
        <v>99</v>
      </c>
      <c r="B100" s="1">
        <v>45568</v>
      </c>
      <c r="C100" t="s">
        <v>116</v>
      </c>
      <c r="D100" t="s">
        <v>45</v>
      </c>
      <c r="E100">
        <v>21</v>
      </c>
      <c r="F100">
        <v>0</v>
      </c>
      <c r="G100">
        <v>0</v>
      </c>
      <c r="H100">
        <v>42600</v>
      </c>
      <c r="I100" t="str">
        <f>TEXT(RTN_AND_ALIBAG_MARKET_SALES[[#This Row],[DATE]],"mmm")</f>
        <v>Oct</v>
      </c>
      <c r="J100" t="str">
        <f>TRIM(RTN_AND_ALIBAG_MARKET_SALES[[#This Row],[NICK NAME]])</f>
        <v>BISMI</v>
      </c>
    </row>
    <row r="101" spans="1:10" x14ac:dyDescent="0.25">
      <c r="A101">
        <v>100</v>
      </c>
      <c r="B101" s="1">
        <v>45568</v>
      </c>
      <c r="C101" t="s">
        <v>80</v>
      </c>
      <c r="D101" t="s">
        <v>81</v>
      </c>
      <c r="E101">
        <v>118</v>
      </c>
      <c r="F101">
        <v>0</v>
      </c>
      <c r="G101">
        <v>0</v>
      </c>
      <c r="H101">
        <v>230100</v>
      </c>
      <c r="I101" t="str">
        <f>TEXT(RTN_AND_ALIBAG_MARKET_SALES[[#This Row],[DATE]],"mmm")</f>
        <v>Oct</v>
      </c>
      <c r="J101" t="str">
        <f>TRIM(RTN_AND_ALIBAG_MARKET_SALES[[#This Row],[NICK NAME]])</f>
        <v>NFT</v>
      </c>
    </row>
    <row r="102" spans="1:10" x14ac:dyDescent="0.25">
      <c r="A102">
        <v>101</v>
      </c>
      <c r="B102" s="1">
        <v>45568</v>
      </c>
      <c r="C102" t="s">
        <v>117</v>
      </c>
      <c r="D102" t="s">
        <v>24</v>
      </c>
      <c r="E102">
        <v>55</v>
      </c>
      <c r="F102">
        <v>0</v>
      </c>
      <c r="G102">
        <v>0</v>
      </c>
      <c r="H102">
        <v>117100</v>
      </c>
      <c r="I102" t="str">
        <f>TEXT(RTN_AND_ALIBAG_MARKET_SALES[[#This Row],[DATE]],"mmm")</f>
        <v>Oct</v>
      </c>
      <c r="J102" t="str">
        <f>TRIM(RTN_AND_ALIBAG_MARKET_SALES[[#This Row],[NICK NAME]])</f>
        <v>CHS</v>
      </c>
    </row>
    <row r="103" spans="1:10" x14ac:dyDescent="0.25">
      <c r="A103">
        <v>102</v>
      </c>
      <c r="B103" s="1">
        <v>45568</v>
      </c>
      <c r="C103" t="s">
        <v>8</v>
      </c>
      <c r="D103" t="s">
        <v>118</v>
      </c>
      <c r="E103">
        <v>7</v>
      </c>
      <c r="F103">
        <v>0</v>
      </c>
      <c r="G103">
        <v>0</v>
      </c>
      <c r="H103">
        <v>12500</v>
      </c>
      <c r="I103" t="str">
        <f>TEXT(RTN_AND_ALIBAG_MARKET_SALES[[#This Row],[DATE]],"mmm")</f>
        <v>Oct</v>
      </c>
      <c r="J103" t="str">
        <f>TRIM(RTN_AND_ALIBAG_MARKET_SALES[[#This Row],[NICK NAME]])</f>
        <v>K PALLI</v>
      </c>
    </row>
    <row r="104" spans="1:10" x14ac:dyDescent="0.25">
      <c r="A104">
        <v>103</v>
      </c>
      <c r="B104" s="1">
        <v>45568</v>
      </c>
      <c r="C104" t="s">
        <v>120</v>
      </c>
      <c r="D104" t="s">
        <v>55</v>
      </c>
      <c r="E104">
        <v>5</v>
      </c>
      <c r="F104">
        <v>0</v>
      </c>
      <c r="G104">
        <v>0</v>
      </c>
      <c r="H104">
        <v>9500</v>
      </c>
      <c r="I104" t="str">
        <f>TEXT(RTN_AND_ALIBAG_MARKET_SALES[[#This Row],[DATE]],"mmm")</f>
        <v>Oct</v>
      </c>
      <c r="J104" t="str">
        <f>TRIM(RTN_AND_ALIBAG_MARKET_SALES[[#This Row],[NICK NAME]])</f>
        <v>EBF</v>
      </c>
    </row>
    <row r="105" spans="1:10" x14ac:dyDescent="0.25">
      <c r="A105">
        <v>104</v>
      </c>
      <c r="B105" s="1">
        <v>45569</v>
      </c>
      <c r="C105" t="s">
        <v>26</v>
      </c>
      <c r="D105" t="s">
        <v>27</v>
      </c>
      <c r="E105">
        <v>7</v>
      </c>
      <c r="F105">
        <v>0</v>
      </c>
      <c r="G105">
        <v>0</v>
      </c>
      <c r="H105">
        <v>9400</v>
      </c>
      <c r="I105" t="str">
        <f>TEXT(RTN_AND_ALIBAG_MARKET_SALES[[#This Row],[DATE]],"mmm")</f>
        <v>Oct</v>
      </c>
      <c r="J105" t="str">
        <f>TRIM(RTN_AND_ALIBAG_MARKET_SALES[[#This Row],[NICK NAME]])</f>
        <v>KNH</v>
      </c>
    </row>
    <row r="106" spans="1:10" x14ac:dyDescent="0.25">
      <c r="A106">
        <v>105</v>
      </c>
      <c r="B106" s="1">
        <v>45569</v>
      </c>
      <c r="C106" t="s">
        <v>116</v>
      </c>
      <c r="D106" t="s">
        <v>45</v>
      </c>
      <c r="E106">
        <v>19</v>
      </c>
      <c r="F106">
        <v>0</v>
      </c>
      <c r="G106">
        <v>0</v>
      </c>
      <c r="H106">
        <v>46300</v>
      </c>
      <c r="I106" t="str">
        <f>TEXT(RTN_AND_ALIBAG_MARKET_SALES[[#This Row],[DATE]],"mmm")</f>
        <v>Oct</v>
      </c>
      <c r="J106" t="str">
        <f>TRIM(RTN_AND_ALIBAG_MARKET_SALES[[#This Row],[NICK NAME]])</f>
        <v>BISMI</v>
      </c>
    </row>
    <row r="107" spans="1:10" x14ac:dyDescent="0.25">
      <c r="A107">
        <v>106</v>
      </c>
      <c r="B107" s="1">
        <v>45569</v>
      </c>
      <c r="C107" t="s">
        <v>121</v>
      </c>
      <c r="D107" t="s">
        <v>20</v>
      </c>
      <c r="E107">
        <v>47</v>
      </c>
      <c r="F107">
        <v>0</v>
      </c>
      <c r="G107">
        <v>0</v>
      </c>
      <c r="H107">
        <v>124400</v>
      </c>
      <c r="I107" t="str">
        <f>TEXT(RTN_AND_ALIBAG_MARKET_SALES[[#This Row],[DATE]],"mmm")</f>
        <v>Oct</v>
      </c>
      <c r="J107" t="str">
        <f>TRIM(RTN_AND_ALIBAG_MARKET_SALES[[#This Row],[NICK NAME]])</f>
        <v>RSF</v>
      </c>
    </row>
    <row r="108" spans="1:10" x14ac:dyDescent="0.25">
      <c r="A108">
        <v>107</v>
      </c>
      <c r="B108" s="1">
        <v>45569</v>
      </c>
      <c r="C108" t="s">
        <v>15</v>
      </c>
      <c r="D108" t="s">
        <v>16</v>
      </c>
      <c r="E108">
        <v>26</v>
      </c>
      <c r="F108">
        <v>0</v>
      </c>
      <c r="G108">
        <v>0</v>
      </c>
      <c r="H108">
        <v>59750</v>
      </c>
      <c r="I108" t="str">
        <f>TEXT(RTN_AND_ALIBAG_MARKET_SALES[[#This Row],[DATE]],"mmm")</f>
        <v>Oct</v>
      </c>
      <c r="J108" t="str">
        <f>TRIM(RTN_AND_ALIBAG_MARKET_SALES[[#This Row],[NICK NAME]])</f>
        <v>LF</v>
      </c>
    </row>
    <row r="109" spans="1:10" x14ac:dyDescent="0.25">
      <c r="A109">
        <v>108</v>
      </c>
      <c r="B109" s="1">
        <v>45570</v>
      </c>
      <c r="C109" t="s">
        <v>116</v>
      </c>
      <c r="D109" t="s">
        <v>45</v>
      </c>
      <c r="E109">
        <v>11</v>
      </c>
      <c r="F109">
        <v>0</v>
      </c>
      <c r="G109">
        <v>0</v>
      </c>
      <c r="H109">
        <v>22500</v>
      </c>
      <c r="I109" t="str">
        <f>TEXT(RTN_AND_ALIBAG_MARKET_SALES[[#This Row],[DATE]],"mmm")</f>
        <v>Oct</v>
      </c>
      <c r="J109" t="str">
        <f>TRIM(RTN_AND_ALIBAG_MARKET_SALES[[#This Row],[NICK NAME]])</f>
        <v>BISMI</v>
      </c>
    </row>
    <row r="110" spans="1:10" x14ac:dyDescent="0.25">
      <c r="A110">
        <v>109</v>
      </c>
      <c r="B110" s="1">
        <v>45570</v>
      </c>
      <c r="C110" t="s">
        <v>121</v>
      </c>
      <c r="D110" t="s">
        <v>20</v>
      </c>
      <c r="E110">
        <v>60</v>
      </c>
      <c r="F110">
        <v>0</v>
      </c>
      <c r="G110">
        <v>0</v>
      </c>
      <c r="H110">
        <v>115800</v>
      </c>
      <c r="I110" t="str">
        <f>TEXT(RTN_AND_ALIBAG_MARKET_SALES[[#This Row],[DATE]],"mmm")</f>
        <v>Oct</v>
      </c>
      <c r="J110" t="str">
        <f>TRIM(RTN_AND_ALIBAG_MARKET_SALES[[#This Row],[NICK NAME]])</f>
        <v>RSF</v>
      </c>
    </row>
    <row r="111" spans="1:10" x14ac:dyDescent="0.25">
      <c r="A111">
        <v>110</v>
      </c>
      <c r="B111" s="1">
        <v>45570</v>
      </c>
      <c r="C111" t="s">
        <v>15</v>
      </c>
      <c r="D111" t="s">
        <v>16</v>
      </c>
      <c r="E111">
        <v>37</v>
      </c>
      <c r="F111">
        <v>0</v>
      </c>
      <c r="G111">
        <v>0</v>
      </c>
      <c r="H111">
        <v>56300</v>
      </c>
      <c r="I111" t="str">
        <f>TEXT(RTN_AND_ALIBAG_MARKET_SALES[[#This Row],[DATE]],"mmm")</f>
        <v>Oct</v>
      </c>
      <c r="J111" t="str">
        <f>TRIM(RTN_AND_ALIBAG_MARKET_SALES[[#This Row],[NICK NAME]])</f>
        <v>LF</v>
      </c>
    </row>
    <row r="112" spans="1:10" x14ac:dyDescent="0.25">
      <c r="A112">
        <v>111</v>
      </c>
      <c r="B112" s="1">
        <v>45572</v>
      </c>
      <c r="C112" t="s">
        <v>119</v>
      </c>
      <c r="D112" t="s">
        <v>94</v>
      </c>
      <c r="E112">
        <v>8</v>
      </c>
      <c r="F112">
        <v>0</v>
      </c>
      <c r="G112">
        <v>0</v>
      </c>
      <c r="H112">
        <v>13700</v>
      </c>
      <c r="I112" t="str">
        <f>TEXT(RTN_AND_ALIBAG_MARKET_SALES[[#This Row],[DATE]],"mmm")</f>
        <v>Oct</v>
      </c>
      <c r="J112" t="str">
        <f>TRIM(RTN_AND_ALIBAG_MARKET_SALES[[#This Row],[NICK NAME]])</f>
        <v>OMS</v>
      </c>
    </row>
    <row r="113" spans="1:10" x14ac:dyDescent="0.25">
      <c r="A113">
        <v>112</v>
      </c>
      <c r="B113" s="1">
        <v>45575</v>
      </c>
      <c r="C113" t="s">
        <v>21</v>
      </c>
      <c r="D113" t="s">
        <v>22</v>
      </c>
      <c r="E113">
        <v>20</v>
      </c>
      <c r="F113">
        <v>0</v>
      </c>
      <c r="G113">
        <v>0</v>
      </c>
      <c r="H113">
        <v>47700</v>
      </c>
      <c r="I113" t="str">
        <f>TEXT(RTN_AND_ALIBAG_MARKET_SALES[[#This Row],[DATE]],"mmm")</f>
        <v>Oct</v>
      </c>
      <c r="J113" t="str">
        <f>TRIM(RTN_AND_ALIBAG_MARKET_SALES[[#This Row],[NICK NAME]])</f>
        <v>YSN</v>
      </c>
    </row>
    <row r="114" spans="1:10" x14ac:dyDescent="0.25">
      <c r="A114">
        <v>113</v>
      </c>
      <c r="B114" s="1">
        <v>45576</v>
      </c>
      <c r="C114" t="s">
        <v>122</v>
      </c>
      <c r="D114" t="s">
        <v>36</v>
      </c>
      <c r="E114">
        <v>97</v>
      </c>
      <c r="F114">
        <v>0</v>
      </c>
      <c r="G114">
        <v>0</v>
      </c>
      <c r="H114">
        <v>351420</v>
      </c>
      <c r="I114" t="str">
        <f>TEXT(RTN_AND_ALIBAG_MARKET_SALES[[#This Row],[DATE]],"mmm")</f>
        <v>Oct</v>
      </c>
      <c r="J114" t="str">
        <f>TRIM(RTN_AND_ALIBAG_MARKET_SALES[[#This Row],[NICK NAME]])</f>
        <v>MKM</v>
      </c>
    </row>
    <row r="115" spans="1:10" x14ac:dyDescent="0.25">
      <c r="A115">
        <v>114</v>
      </c>
      <c r="B115" s="1">
        <v>45577</v>
      </c>
      <c r="C115" t="s">
        <v>7</v>
      </c>
      <c r="D115" t="s">
        <v>8</v>
      </c>
      <c r="E115">
        <v>39</v>
      </c>
      <c r="F115">
        <v>0</v>
      </c>
      <c r="G115">
        <v>0</v>
      </c>
      <c r="H115">
        <v>102050</v>
      </c>
      <c r="I115" t="str">
        <f>TEXT(RTN_AND_ALIBAG_MARKET_SALES[[#This Row],[DATE]],"mmm")</f>
        <v>Oct</v>
      </c>
      <c r="J115" t="str">
        <f>TRIM(RTN_AND_ALIBAG_MARKET_SALES[[#This Row],[NICK NAME]])</f>
        <v>HMS</v>
      </c>
    </row>
    <row r="116" spans="1:10" x14ac:dyDescent="0.25">
      <c r="A116">
        <v>115</v>
      </c>
      <c r="B116" s="1">
        <v>45577</v>
      </c>
      <c r="C116" t="s">
        <v>120</v>
      </c>
      <c r="D116" t="s">
        <v>55</v>
      </c>
      <c r="E116">
        <v>43</v>
      </c>
      <c r="F116">
        <v>0</v>
      </c>
      <c r="G116">
        <v>0</v>
      </c>
      <c r="H116">
        <v>160800</v>
      </c>
      <c r="I116" t="str">
        <f>TEXT(RTN_AND_ALIBAG_MARKET_SALES[[#This Row],[DATE]],"mmm")</f>
        <v>Oct</v>
      </c>
      <c r="J116" t="str">
        <f>TRIM(RTN_AND_ALIBAG_MARKET_SALES[[#This Row],[NICK NAME]])</f>
        <v>EBF</v>
      </c>
    </row>
    <row r="117" spans="1:10" x14ac:dyDescent="0.25">
      <c r="A117">
        <v>116</v>
      </c>
      <c r="B117" s="1">
        <v>45578</v>
      </c>
      <c r="C117" t="s">
        <v>9</v>
      </c>
      <c r="D117" t="s">
        <v>10</v>
      </c>
      <c r="E117">
        <v>11</v>
      </c>
      <c r="F117">
        <v>0</v>
      </c>
      <c r="G117">
        <v>0</v>
      </c>
      <c r="H117">
        <v>28000</v>
      </c>
      <c r="I117" t="str">
        <f>TEXT(RTN_AND_ALIBAG_MARKET_SALES[[#This Row],[DATE]],"mmm")</f>
        <v>Oct</v>
      </c>
      <c r="J117" t="str">
        <f>TRIM(RTN_AND_ALIBAG_MARKET_SALES[[#This Row],[NICK NAME]])</f>
        <v>TSF</v>
      </c>
    </row>
    <row r="118" spans="1:10" x14ac:dyDescent="0.25">
      <c r="A118">
        <v>117</v>
      </c>
      <c r="B118" s="1">
        <v>45578</v>
      </c>
      <c r="C118" t="s">
        <v>11</v>
      </c>
      <c r="D118" t="s">
        <v>12</v>
      </c>
      <c r="E118">
        <v>40</v>
      </c>
      <c r="F118">
        <v>0</v>
      </c>
      <c r="G118">
        <v>0</v>
      </c>
      <c r="H118">
        <v>94100</v>
      </c>
      <c r="I118" t="str">
        <f>TEXT(RTN_AND_ALIBAG_MARKET_SALES[[#This Row],[DATE]],"mmm")</f>
        <v>Oct</v>
      </c>
      <c r="J118" t="str">
        <f>TRIM(RTN_AND_ALIBAG_MARKET_SALES[[#This Row],[NICK NAME]])</f>
        <v>TWK</v>
      </c>
    </row>
    <row r="119" spans="1:10" x14ac:dyDescent="0.25">
      <c r="A119">
        <v>118</v>
      </c>
      <c r="B119" s="1">
        <v>45578</v>
      </c>
      <c r="C119" t="s">
        <v>120</v>
      </c>
      <c r="D119" t="s">
        <v>55</v>
      </c>
      <c r="E119">
        <v>66</v>
      </c>
      <c r="F119">
        <v>0</v>
      </c>
      <c r="G119">
        <v>0</v>
      </c>
      <c r="H119">
        <v>233800</v>
      </c>
      <c r="I119" t="str">
        <f>TEXT(RTN_AND_ALIBAG_MARKET_SALES[[#This Row],[DATE]],"mmm")</f>
        <v>Oct</v>
      </c>
      <c r="J119" t="str">
        <f>TRIM(RTN_AND_ALIBAG_MARKET_SALES[[#This Row],[NICK NAME]])</f>
        <v>EBF</v>
      </c>
    </row>
    <row r="120" spans="1:10" x14ac:dyDescent="0.25">
      <c r="A120">
        <v>119</v>
      </c>
      <c r="B120" s="1">
        <v>45579</v>
      </c>
      <c r="C120" t="s">
        <v>13</v>
      </c>
      <c r="D120" t="s">
        <v>14</v>
      </c>
      <c r="E120">
        <v>32</v>
      </c>
      <c r="F120">
        <v>3000</v>
      </c>
      <c r="G120">
        <v>8</v>
      </c>
      <c r="H120">
        <v>70170</v>
      </c>
      <c r="I120" t="str">
        <f>TEXT(RTN_AND_ALIBAG_MARKET_SALES[[#This Row],[DATE]],"mmm")</f>
        <v>Oct</v>
      </c>
      <c r="J120" t="str">
        <f>TRIM(RTN_AND_ALIBAG_MARKET_SALES[[#This Row],[NICK NAME]])</f>
        <v>SHA</v>
      </c>
    </row>
    <row r="121" spans="1:10" x14ac:dyDescent="0.25">
      <c r="A121">
        <v>120</v>
      </c>
      <c r="B121" s="1">
        <v>45579</v>
      </c>
      <c r="C121" t="s">
        <v>15</v>
      </c>
      <c r="D121" t="s">
        <v>16</v>
      </c>
      <c r="E121">
        <v>58</v>
      </c>
      <c r="F121">
        <v>0</v>
      </c>
      <c r="G121">
        <v>0</v>
      </c>
      <c r="H121">
        <v>132450</v>
      </c>
      <c r="I121" t="str">
        <f>TEXT(RTN_AND_ALIBAG_MARKET_SALES[[#This Row],[DATE]],"mmm")</f>
        <v>Oct</v>
      </c>
      <c r="J121" t="str">
        <f>TRIM(RTN_AND_ALIBAG_MARKET_SALES[[#This Row],[NICK NAME]])</f>
        <v>LF</v>
      </c>
    </row>
    <row r="122" spans="1:10" x14ac:dyDescent="0.25">
      <c r="A122">
        <v>121</v>
      </c>
      <c r="B122" s="1">
        <v>45579</v>
      </c>
      <c r="C122" t="s">
        <v>17</v>
      </c>
      <c r="D122" t="s">
        <v>18</v>
      </c>
      <c r="E122">
        <v>12</v>
      </c>
      <c r="F122">
        <v>0</v>
      </c>
      <c r="G122">
        <v>0</v>
      </c>
      <c r="H122">
        <v>26900</v>
      </c>
      <c r="I122" t="str">
        <f>TEXT(RTN_AND_ALIBAG_MARKET_SALES[[#This Row],[DATE]],"mmm")</f>
        <v>Oct</v>
      </c>
      <c r="J122" t="str">
        <f>TRIM(RTN_AND_ALIBAG_MARKET_SALES[[#This Row],[NICK NAME]])</f>
        <v>NB</v>
      </c>
    </row>
    <row r="123" spans="1:10" x14ac:dyDescent="0.25">
      <c r="A123">
        <v>122</v>
      </c>
      <c r="B123" s="1">
        <v>45579</v>
      </c>
      <c r="C123" t="s">
        <v>19</v>
      </c>
      <c r="D123" t="s">
        <v>20</v>
      </c>
      <c r="E123">
        <v>27</v>
      </c>
      <c r="F123">
        <v>0</v>
      </c>
      <c r="G123">
        <v>0</v>
      </c>
      <c r="H123">
        <v>62800</v>
      </c>
      <c r="I123" t="str">
        <f>TEXT(RTN_AND_ALIBAG_MARKET_SALES[[#This Row],[DATE]],"mmm")</f>
        <v>Oct</v>
      </c>
      <c r="J123" t="str">
        <f>TRIM(RTN_AND_ALIBAG_MARKET_SALES[[#This Row],[NICK NAME]])</f>
        <v>RSF</v>
      </c>
    </row>
    <row r="124" spans="1:10" x14ac:dyDescent="0.25">
      <c r="A124">
        <v>123</v>
      </c>
      <c r="B124" s="1">
        <v>45581</v>
      </c>
      <c r="C124" t="s">
        <v>123</v>
      </c>
      <c r="D124" t="s">
        <v>20</v>
      </c>
      <c r="E124">
        <v>113</v>
      </c>
      <c r="F124">
        <v>0</v>
      </c>
      <c r="G124">
        <v>0</v>
      </c>
      <c r="H124">
        <v>246700</v>
      </c>
      <c r="I124" t="str">
        <f>TEXT(RTN_AND_ALIBAG_MARKET_SALES[[#This Row],[DATE]],"mmm")</f>
        <v>Oct</v>
      </c>
      <c r="J124" t="str">
        <f>TRIM(RTN_AND_ALIBAG_MARKET_SALES[[#This Row],[NICK NAME]])</f>
        <v>RSF</v>
      </c>
    </row>
    <row r="125" spans="1:10" x14ac:dyDescent="0.25">
      <c r="A125">
        <v>124</v>
      </c>
      <c r="B125" s="1">
        <v>45581</v>
      </c>
      <c r="C125" t="s">
        <v>13</v>
      </c>
      <c r="D125" t="s">
        <v>14</v>
      </c>
      <c r="E125">
        <v>30</v>
      </c>
      <c r="F125">
        <v>3000</v>
      </c>
      <c r="G125">
        <v>9</v>
      </c>
      <c r="H125">
        <v>61800</v>
      </c>
      <c r="I125" t="str">
        <f>TEXT(RTN_AND_ALIBAG_MARKET_SALES[[#This Row],[DATE]],"mmm")</f>
        <v>Oct</v>
      </c>
      <c r="J125" t="str">
        <f>TRIM(RTN_AND_ALIBAG_MARKET_SALES[[#This Row],[NICK NAME]])</f>
        <v>SHA</v>
      </c>
    </row>
    <row r="126" spans="1:10" x14ac:dyDescent="0.25">
      <c r="A126">
        <v>125</v>
      </c>
      <c r="B126" s="1">
        <v>45581</v>
      </c>
      <c r="C126" t="s">
        <v>15</v>
      </c>
      <c r="D126" t="s">
        <v>16</v>
      </c>
      <c r="E126">
        <v>52</v>
      </c>
      <c r="F126">
        <v>0</v>
      </c>
      <c r="G126">
        <v>0</v>
      </c>
      <c r="H126">
        <v>111400</v>
      </c>
      <c r="I126" t="str">
        <f>TEXT(RTN_AND_ALIBAG_MARKET_SALES[[#This Row],[DATE]],"mmm")</f>
        <v>Oct</v>
      </c>
      <c r="J126" t="str">
        <f>TRIM(RTN_AND_ALIBAG_MARKET_SALES[[#This Row],[NICK NAME]])</f>
        <v>LF</v>
      </c>
    </row>
    <row r="127" spans="1:10" x14ac:dyDescent="0.25">
      <c r="A127">
        <v>126</v>
      </c>
      <c r="B127" s="1">
        <v>45581</v>
      </c>
      <c r="C127" t="s">
        <v>17</v>
      </c>
      <c r="D127" t="s">
        <v>45</v>
      </c>
      <c r="E127">
        <v>5</v>
      </c>
      <c r="F127">
        <v>0</v>
      </c>
      <c r="G127">
        <v>0</v>
      </c>
      <c r="H127">
        <v>11050</v>
      </c>
      <c r="I127" t="str">
        <f>TEXT(RTN_AND_ALIBAG_MARKET_SALES[[#This Row],[DATE]],"mmm")</f>
        <v>Oct</v>
      </c>
      <c r="J127" t="str">
        <f>TRIM(RTN_AND_ALIBAG_MARKET_SALES[[#This Row],[NICK NAME]])</f>
        <v>BISMI</v>
      </c>
    </row>
    <row r="128" spans="1:10" x14ac:dyDescent="0.25">
      <c r="A128">
        <v>127</v>
      </c>
      <c r="B128" s="1">
        <v>45585</v>
      </c>
      <c r="C128" t="s">
        <v>23</v>
      </c>
      <c r="D128" t="s">
        <v>24</v>
      </c>
      <c r="E128">
        <v>11</v>
      </c>
      <c r="F128">
        <v>0</v>
      </c>
      <c r="G128">
        <v>0</v>
      </c>
      <c r="H128">
        <v>32250</v>
      </c>
      <c r="I128" t="str">
        <f>TEXT(RTN_AND_ALIBAG_MARKET_SALES[[#This Row],[DATE]],"mmm")</f>
        <v>Oct</v>
      </c>
      <c r="J128" t="str">
        <f>TRIM(RTN_AND_ALIBAG_MARKET_SALES[[#This Row],[NICK NAME]])</f>
        <v>CHS</v>
      </c>
    </row>
    <row r="129" spans="1:10" x14ac:dyDescent="0.25">
      <c r="A129">
        <v>128</v>
      </c>
      <c r="B129" s="1">
        <v>45585</v>
      </c>
      <c r="C129" t="s">
        <v>26</v>
      </c>
      <c r="D129" t="s">
        <v>27</v>
      </c>
      <c r="E129">
        <v>31</v>
      </c>
      <c r="F129">
        <v>0</v>
      </c>
      <c r="G129">
        <v>0</v>
      </c>
      <c r="H129">
        <v>97600</v>
      </c>
      <c r="I129" t="str">
        <f>TEXT(RTN_AND_ALIBAG_MARKET_SALES[[#This Row],[DATE]],"mmm")</f>
        <v>Oct</v>
      </c>
      <c r="J129" t="str">
        <f>TRIM(RTN_AND_ALIBAG_MARKET_SALES[[#This Row],[NICK NAME]])</f>
        <v>KNH</v>
      </c>
    </row>
    <row r="130" spans="1:10" x14ac:dyDescent="0.25">
      <c r="A130">
        <v>129</v>
      </c>
      <c r="B130" s="1">
        <v>45585</v>
      </c>
      <c r="C130" t="s">
        <v>124</v>
      </c>
      <c r="D130" t="s">
        <v>125</v>
      </c>
      <c r="E130">
        <v>25</v>
      </c>
      <c r="F130">
        <v>0</v>
      </c>
      <c r="G130">
        <v>0</v>
      </c>
      <c r="H130">
        <v>80100</v>
      </c>
      <c r="I130" t="str">
        <f>TEXT(RTN_AND_ALIBAG_MARKET_SALES[[#This Row],[DATE]],"mmm")</f>
        <v>Oct</v>
      </c>
      <c r="J130" t="str">
        <f>TRIM(RTN_AND_ALIBAG_MARKET_SALES[[#This Row],[NICK NAME]])</f>
        <v>K PALL</v>
      </c>
    </row>
    <row r="131" spans="1:10" x14ac:dyDescent="0.25">
      <c r="A131">
        <v>130</v>
      </c>
      <c r="B131" s="1">
        <v>45585</v>
      </c>
      <c r="C131" t="s">
        <v>46</v>
      </c>
      <c r="D131" t="s">
        <v>47</v>
      </c>
      <c r="E131">
        <v>39</v>
      </c>
      <c r="F131">
        <v>0</v>
      </c>
      <c r="G131">
        <v>0</v>
      </c>
      <c r="H131">
        <v>118000</v>
      </c>
      <c r="I131" t="str">
        <f>TEXT(RTN_AND_ALIBAG_MARKET_SALES[[#This Row],[DATE]],"mmm")</f>
        <v>Oct</v>
      </c>
      <c r="J131" t="str">
        <f>TRIM(RTN_AND_ALIBAG_MARKET_SALES[[#This Row],[NICK NAME]])</f>
        <v>AS</v>
      </c>
    </row>
    <row r="132" spans="1:10" x14ac:dyDescent="0.25">
      <c r="A132">
        <v>131</v>
      </c>
      <c r="B132" s="1">
        <v>45586</v>
      </c>
      <c r="C132" t="s">
        <v>46</v>
      </c>
      <c r="D132" t="s">
        <v>47</v>
      </c>
      <c r="E132">
        <v>35</v>
      </c>
      <c r="F132">
        <v>0</v>
      </c>
      <c r="G132">
        <v>0</v>
      </c>
      <c r="H132">
        <v>107800</v>
      </c>
      <c r="I132" t="str">
        <f>TEXT(RTN_AND_ALIBAG_MARKET_SALES[[#This Row],[DATE]],"mmm")</f>
        <v>Oct</v>
      </c>
      <c r="J132" t="str">
        <f>TRIM(RTN_AND_ALIBAG_MARKET_SALES[[#This Row],[NICK NAME]])</f>
        <v>AS</v>
      </c>
    </row>
    <row r="133" spans="1:10" x14ac:dyDescent="0.25">
      <c r="A133">
        <v>132</v>
      </c>
      <c r="B133" s="1">
        <v>45586</v>
      </c>
      <c r="C133" t="s">
        <v>46</v>
      </c>
      <c r="D133" t="s">
        <v>47</v>
      </c>
      <c r="E133">
        <v>18</v>
      </c>
      <c r="F133">
        <v>0</v>
      </c>
      <c r="G133">
        <v>0</v>
      </c>
      <c r="H133">
        <v>53800</v>
      </c>
      <c r="I133" t="str">
        <f>TEXT(RTN_AND_ALIBAG_MARKET_SALES[[#This Row],[DATE]],"mmm")</f>
        <v>Oct</v>
      </c>
      <c r="J133" t="str">
        <f>TRIM(RTN_AND_ALIBAG_MARKET_SALES[[#This Row],[NICK NAME]])</f>
        <v>AS</v>
      </c>
    </row>
    <row r="134" spans="1:10" x14ac:dyDescent="0.25">
      <c r="A134">
        <v>133</v>
      </c>
      <c r="B134" s="1">
        <v>45587</v>
      </c>
      <c r="C134" t="s">
        <v>126</v>
      </c>
      <c r="D134" t="s">
        <v>57</v>
      </c>
      <c r="E134">
        <v>25</v>
      </c>
      <c r="F134">
        <v>0</v>
      </c>
      <c r="G134">
        <v>0</v>
      </c>
      <c r="H134">
        <v>60900</v>
      </c>
      <c r="I134" t="str">
        <f>TEXT(RTN_AND_ALIBAG_MARKET_SALES[[#This Row],[DATE]],"mmm")</f>
        <v>Oct</v>
      </c>
      <c r="J134" t="str">
        <f>TRIM(RTN_AND_ALIBAG_MARKET_SALES[[#This Row],[NICK NAME]])</f>
        <v>PMM</v>
      </c>
    </row>
    <row r="135" spans="1:10" x14ac:dyDescent="0.25">
      <c r="A135">
        <v>134</v>
      </c>
      <c r="B135" s="1">
        <v>45587</v>
      </c>
      <c r="C135" t="s">
        <v>127</v>
      </c>
      <c r="D135" t="s">
        <v>128</v>
      </c>
      <c r="E135">
        <v>16</v>
      </c>
      <c r="F135">
        <v>0</v>
      </c>
      <c r="G135">
        <v>0</v>
      </c>
      <c r="H135">
        <v>38700</v>
      </c>
      <c r="I135" t="str">
        <f>TEXT(RTN_AND_ALIBAG_MARKET_SALES[[#This Row],[DATE]],"mmm")</f>
        <v>Oct</v>
      </c>
      <c r="J135" t="str">
        <f>TRIM(RTN_AND_ALIBAG_MARKET_SALES[[#This Row],[NICK NAME]])</f>
        <v>MRM</v>
      </c>
    </row>
    <row r="136" spans="1:10" x14ac:dyDescent="0.25">
      <c r="A136">
        <v>135</v>
      </c>
      <c r="B136" s="1">
        <v>45589</v>
      </c>
      <c r="C136" t="s">
        <v>80</v>
      </c>
      <c r="D136" t="s">
        <v>81</v>
      </c>
      <c r="E136">
        <v>55</v>
      </c>
      <c r="F136">
        <v>0</v>
      </c>
      <c r="G136">
        <v>0</v>
      </c>
      <c r="H136">
        <v>157230</v>
      </c>
      <c r="I136" t="str">
        <f>TEXT(RTN_AND_ALIBAG_MARKET_SALES[[#This Row],[DATE]],"mmm")</f>
        <v>Oct</v>
      </c>
      <c r="J136" t="str">
        <f>TRIM(RTN_AND_ALIBAG_MARKET_SALES[[#This Row],[NICK NAME]])</f>
        <v>NFT</v>
      </c>
    </row>
    <row r="137" spans="1:10" x14ac:dyDescent="0.25">
      <c r="A137">
        <v>136</v>
      </c>
      <c r="B137" s="1">
        <v>45589</v>
      </c>
      <c r="C137" t="s">
        <v>126</v>
      </c>
      <c r="D137" t="s">
        <v>57</v>
      </c>
      <c r="E137">
        <v>34</v>
      </c>
      <c r="F137">
        <v>5000</v>
      </c>
      <c r="G137">
        <v>1</v>
      </c>
      <c r="H137">
        <v>91750</v>
      </c>
      <c r="I137" t="str">
        <f>TEXT(RTN_AND_ALIBAG_MARKET_SALES[[#This Row],[DATE]],"mmm")</f>
        <v>Oct</v>
      </c>
      <c r="J137" t="str">
        <f>TRIM(RTN_AND_ALIBAG_MARKET_SALES[[#This Row],[NICK NAME]])</f>
        <v>PMM</v>
      </c>
    </row>
    <row r="138" spans="1:10" x14ac:dyDescent="0.25">
      <c r="A138">
        <v>137</v>
      </c>
      <c r="B138" s="1">
        <v>45589</v>
      </c>
      <c r="C138" t="s">
        <v>46</v>
      </c>
      <c r="D138" t="s">
        <v>47</v>
      </c>
      <c r="E138">
        <v>1</v>
      </c>
      <c r="F138">
        <v>0</v>
      </c>
      <c r="G138">
        <v>0</v>
      </c>
      <c r="H138">
        <v>1500</v>
      </c>
      <c r="I138" t="str">
        <f>TEXT(RTN_AND_ALIBAG_MARKET_SALES[[#This Row],[DATE]],"mmm")</f>
        <v>Oct</v>
      </c>
      <c r="J138" t="str">
        <f>TRIM(RTN_AND_ALIBAG_MARKET_SALES[[#This Row],[NICK NAME]])</f>
        <v>AS</v>
      </c>
    </row>
    <row r="139" spans="1:10" x14ac:dyDescent="0.25">
      <c r="A139">
        <v>138</v>
      </c>
      <c r="B139" s="1">
        <v>45589</v>
      </c>
      <c r="C139" t="s">
        <v>80</v>
      </c>
      <c r="D139" t="s">
        <v>132</v>
      </c>
      <c r="E139">
        <v>32</v>
      </c>
      <c r="F139">
        <v>0</v>
      </c>
      <c r="G139">
        <v>0</v>
      </c>
      <c r="H139">
        <v>91400</v>
      </c>
      <c r="I139" t="str">
        <f>TEXT(RTN_AND_ALIBAG_MARKET_SALES[[#This Row],[DATE]],"mmm")</f>
        <v>Oct</v>
      </c>
      <c r="J139" t="str">
        <f>TRIM(RTN_AND_ALIBAG_MARKET_SALES[[#This Row],[NICK NAME]])</f>
        <v>KNSF</v>
      </c>
    </row>
    <row r="140" spans="1:10" x14ac:dyDescent="0.25">
      <c r="A140">
        <v>139</v>
      </c>
      <c r="B140" s="1">
        <v>45589</v>
      </c>
      <c r="C140" t="s">
        <v>120</v>
      </c>
      <c r="D140" t="s">
        <v>55</v>
      </c>
      <c r="E140">
        <v>40</v>
      </c>
      <c r="F140">
        <v>0</v>
      </c>
      <c r="G140">
        <v>0</v>
      </c>
      <c r="H140">
        <v>122400</v>
      </c>
      <c r="I140" t="str">
        <f>TEXT(RTN_AND_ALIBAG_MARKET_SALES[[#This Row],[DATE]],"mmm")</f>
        <v>Oct</v>
      </c>
      <c r="J140" t="str">
        <f>TRIM(RTN_AND_ALIBAG_MARKET_SALES[[#This Row],[NICK NAME]])</f>
        <v>EBF</v>
      </c>
    </row>
    <row r="141" spans="1:10" x14ac:dyDescent="0.25">
      <c r="A141">
        <v>140</v>
      </c>
      <c r="B141" s="1">
        <v>45590</v>
      </c>
      <c r="C141" t="s">
        <v>43</v>
      </c>
      <c r="D141" t="s">
        <v>22</v>
      </c>
      <c r="E141">
        <v>35</v>
      </c>
      <c r="F141">
        <v>0</v>
      </c>
      <c r="G141">
        <v>0</v>
      </c>
      <c r="H141">
        <v>45100</v>
      </c>
      <c r="I141" t="str">
        <f>TEXT(RTN_AND_ALIBAG_MARKET_SALES[[#This Row],[DATE]],"mmm")</f>
        <v>Oct</v>
      </c>
      <c r="J141" t="str">
        <f>TRIM(RTN_AND_ALIBAG_MARKET_SALES[[#This Row],[NICK NAME]])</f>
        <v>YSN</v>
      </c>
    </row>
    <row r="142" spans="1:10" x14ac:dyDescent="0.25">
      <c r="A142">
        <v>141</v>
      </c>
      <c r="B142" s="1">
        <v>45590</v>
      </c>
      <c r="C142" t="s">
        <v>15</v>
      </c>
      <c r="D142" t="s">
        <v>16</v>
      </c>
      <c r="E142">
        <v>60</v>
      </c>
      <c r="F142">
        <v>0</v>
      </c>
      <c r="G142">
        <v>0</v>
      </c>
      <c r="H142">
        <v>73500</v>
      </c>
      <c r="I142" t="str">
        <f>TEXT(RTN_AND_ALIBAG_MARKET_SALES[[#This Row],[DATE]],"mmm")</f>
        <v>Oct</v>
      </c>
      <c r="J142" t="str">
        <f>TRIM(RTN_AND_ALIBAG_MARKET_SALES[[#This Row],[NICK NAME]])</f>
        <v>LF</v>
      </c>
    </row>
    <row r="143" spans="1:10" x14ac:dyDescent="0.25">
      <c r="A143">
        <v>142</v>
      </c>
      <c r="B143" s="1">
        <v>45590</v>
      </c>
      <c r="C143" t="s">
        <v>113</v>
      </c>
      <c r="D143" t="s">
        <v>180</v>
      </c>
      <c r="E143">
        <v>20</v>
      </c>
      <c r="F143">
        <v>0</v>
      </c>
      <c r="G143">
        <v>0</v>
      </c>
      <c r="H143">
        <v>22800</v>
      </c>
      <c r="I143" t="str">
        <f>TEXT(RTN_AND_ALIBAG_MARKET_SALES[[#This Row],[DATE]],"mmm")</f>
        <v>Oct</v>
      </c>
      <c r="J143" t="str">
        <f>TRIM(RTN_AND_ALIBAG_MARKET_SALES[[#This Row],[NICK NAME]])</f>
        <v>ANNAI</v>
      </c>
    </row>
    <row r="144" spans="1:10" x14ac:dyDescent="0.25">
      <c r="A144">
        <v>143</v>
      </c>
      <c r="B144" s="1">
        <v>45591</v>
      </c>
      <c r="C144" t="s">
        <v>15</v>
      </c>
      <c r="D144" t="s">
        <v>16</v>
      </c>
      <c r="E144">
        <v>33</v>
      </c>
      <c r="F144">
        <v>0</v>
      </c>
      <c r="G144">
        <v>0</v>
      </c>
      <c r="H144">
        <v>45600</v>
      </c>
      <c r="I144" t="str">
        <f>TEXT(RTN_AND_ALIBAG_MARKET_SALES[[#This Row],[DATE]],"mmm")</f>
        <v>Oct</v>
      </c>
      <c r="J144" t="str">
        <f>TRIM(RTN_AND_ALIBAG_MARKET_SALES[[#This Row],[NICK NAME]])</f>
        <v>LF</v>
      </c>
    </row>
    <row r="145" spans="1:10" x14ac:dyDescent="0.25">
      <c r="A145">
        <v>144</v>
      </c>
      <c r="B145" s="1">
        <v>45591</v>
      </c>
      <c r="C145" t="s">
        <v>129</v>
      </c>
      <c r="D145" t="s">
        <v>45</v>
      </c>
      <c r="E145">
        <v>45</v>
      </c>
      <c r="F145">
        <v>0</v>
      </c>
      <c r="G145">
        <v>0</v>
      </c>
      <c r="H145">
        <v>50800</v>
      </c>
      <c r="I145" t="str">
        <f>TEXT(RTN_AND_ALIBAG_MARKET_SALES[[#This Row],[DATE]],"mmm")</f>
        <v>Oct</v>
      </c>
      <c r="J145" t="str">
        <f>TRIM(RTN_AND_ALIBAG_MARKET_SALES[[#This Row],[NICK NAME]])</f>
        <v>BISMI</v>
      </c>
    </row>
    <row r="146" spans="1:10" x14ac:dyDescent="0.25">
      <c r="A146">
        <v>145</v>
      </c>
      <c r="B146" s="1">
        <v>45591</v>
      </c>
      <c r="C146" t="s">
        <v>130</v>
      </c>
      <c r="D146" t="s">
        <v>20</v>
      </c>
      <c r="E146">
        <v>73</v>
      </c>
      <c r="F146">
        <v>0</v>
      </c>
      <c r="G146">
        <v>0</v>
      </c>
      <c r="H146">
        <v>85450</v>
      </c>
      <c r="I146" t="str">
        <f>TEXT(RTN_AND_ALIBAG_MARKET_SALES[[#This Row],[DATE]],"mmm")</f>
        <v>Oct</v>
      </c>
      <c r="J146" t="str">
        <f>TRIM(RTN_AND_ALIBAG_MARKET_SALES[[#This Row],[NICK NAME]])</f>
        <v>RSF</v>
      </c>
    </row>
    <row r="147" spans="1:10" x14ac:dyDescent="0.25">
      <c r="A147">
        <v>146</v>
      </c>
      <c r="B147" s="1">
        <v>45597</v>
      </c>
      <c r="C147" t="s">
        <v>46</v>
      </c>
      <c r="D147" t="s">
        <v>47</v>
      </c>
      <c r="E147">
        <v>34</v>
      </c>
      <c r="F147">
        <v>0</v>
      </c>
      <c r="G147">
        <v>0</v>
      </c>
      <c r="H147">
        <v>101700</v>
      </c>
      <c r="I147" t="str">
        <f>TEXT(RTN_AND_ALIBAG_MARKET_SALES[[#This Row],[DATE]],"mmm")</f>
        <v>Nov</v>
      </c>
      <c r="J147" t="str">
        <f>TRIM(RTN_AND_ALIBAG_MARKET_SALES[[#This Row],[NICK NAME]])</f>
        <v>AS</v>
      </c>
    </row>
    <row r="148" spans="1:10" x14ac:dyDescent="0.25">
      <c r="A148">
        <v>147</v>
      </c>
      <c r="B148" s="1">
        <v>45597</v>
      </c>
      <c r="C148" t="s">
        <v>46</v>
      </c>
      <c r="D148" t="s">
        <v>47</v>
      </c>
      <c r="E148">
        <v>3</v>
      </c>
      <c r="F148">
        <v>0</v>
      </c>
      <c r="G148">
        <v>0</v>
      </c>
      <c r="H148">
        <v>8700</v>
      </c>
      <c r="I148" t="str">
        <f>TEXT(RTN_AND_ALIBAG_MARKET_SALES[[#This Row],[DATE]],"mmm")</f>
        <v>Nov</v>
      </c>
      <c r="J148" t="str">
        <f>TRIM(RTN_AND_ALIBAG_MARKET_SALES[[#This Row],[NICK NAME]])</f>
        <v>AS</v>
      </c>
    </row>
    <row r="149" spans="1:10" x14ac:dyDescent="0.25">
      <c r="A149">
        <v>148</v>
      </c>
      <c r="B149" s="1">
        <v>45597</v>
      </c>
      <c r="C149" t="s">
        <v>131</v>
      </c>
      <c r="D149" t="s">
        <v>57</v>
      </c>
      <c r="E149">
        <v>55</v>
      </c>
      <c r="F149">
        <v>5000</v>
      </c>
      <c r="G149">
        <v>2</v>
      </c>
      <c r="H149">
        <v>156400</v>
      </c>
      <c r="I149" t="str">
        <f>TEXT(RTN_AND_ALIBAG_MARKET_SALES[[#This Row],[DATE]],"mmm")</f>
        <v>Nov</v>
      </c>
      <c r="J149" t="str">
        <f>TRIM(RTN_AND_ALIBAG_MARKET_SALES[[#This Row],[NICK NAME]])</f>
        <v>PMM</v>
      </c>
    </row>
    <row r="150" spans="1:10" x14ac:dyDescent="0.25">
      <c r="A150">
        <v>149</v>
      </c>
      <c r="B150" s="1">
        <v>45597</v>
      </c>
      <c r="C150" t="s">
        <v>80</v>
      </c>
      <c r="D150" t="s">
        <v>132</v>
      </c>
      <c r="E150">
        <v>19</v>
      </c>
      <c r="F150">
        <v>0</v>
      </c>
      <c r="G150">
        <v>0</v>
      </c>
      <c r="H150">
        <v>62600</v>
      </c>
      <c r="I150" t="str">
        <f>TEXT(RTN_AND_ALIBAG_MARKET_SALES[[#This Row],[DATE]],"mmm")</f>
        <v>Nov</v>
      </c>
      <c r="J150" t="str">
        <f>TRIM(RTN_AND_ALIBAG_MARKET_SALES[[#This Row],[NICK NAME]])</f>
        <v>KNSF</v>
      </c>
    </row>
    <row r="151" spans="1:10" x14ac:dyDescent="0.25">
      <c r="A151">
        <v>150</v>
      </c>
      <c r="B151" s="1">
        <v>45597</v>
      </c>
      <c r="C151" t="s">
        <v>133</v>
      </c>
      <c r="D151" t="s">
        <v>128</v>
      </c>
      <c r="E151">
        <v>30</v>
      </c>
      <c r="F151">
        <v>0</v>
      </c>
      <c r="G151">
        <v>0</v>
      </c>
      <c r="H151">
        <v>85600</v>
      </c>
      <c r="I151" t="str">
        <f>TEXT(RTN_AND_ALIBAG_MARKET_SALES[[#This Row],[DATE]],"mmm")</f>
        <v>Nov</v>
      </c>
      <c r="J151" t="str">
        <f>TRIM(RTN_AND_ALIBAG_MARKET_SALES[[#This Row],[NICK NAME]])</f>
        <v>MRM</v>
      </c>
    </row>
    <row r="152" spans="1:10" x14ac:dyDescent="0.25">
      <c r="A152">
        <v>151</v>
      </c>
      <c r="B152" s="1">
        <v>45597</v>
      </c>
      <c r="C152" t="s">
        <v>120</v>
      </c>
      <c r="D152" t="s">
        <v>55</v>
      </c>
      <c r="E152">
        <v>1</v>
      </c>
      <c r="F152">
        <v>0</v>
      </c>
      <c r="G152">
        <v>0</v>
      </c>
      <c r="H152">
        <v>3100</v>
      </c>
      <c r="I152" t="str">
        <f>TEXT(RTN_AND_ALIBAG_MARKET_SALES[[#This Row],[DATE]],"mmm")</f>
        <v>Nov</v>
      </c>
      <c r="J152" t="str">
        <f>TRIM(RTN_AND_ALIBAG_MARKET_SALES[[#This Row],[NICK NAME]])</f>
        <v>EBF</v>
      </c>
    </row>
    <row r="153" spans="1:10" x14ac:dyDescent="0.25">
      <c r="A153">
        <v>152</v>
      </c>
      <c r="B153" s="1">
        <v>45598</v>
      </c>
      <c r="C153" t="s">
        <v>134</v>
      </c>
      <c r="D153" t="s">
        <v>135</v>
      </c>
      <c r="E153">
        <v>9</v>
      </c>
      <c r="F153">
        <v>0</v>
      </c>
      <c r="G153">
        <v>0</v>
      </c>
      <c r="H153">
        <v>24800</v>
      </c>
      <c r="I153" t="str">
        <f>TEXT(RTN_AND_ALIBAG_MARKET_SALES[[#This Row],[DATE]],"mmm")</f>
        <v>Nov</v>
      </c>
      <c r="J153" t="str">
        <f>TRIM(RTN_AND_ALIBAG_MARKET_SALES[[#This Row],[NICK NAME]])</f>
        <v>SULFI</v>
      </c>
    </row>
    <row r="154" spans="1:10" x14ac:dyDescent="0.25">
      <c r="A154">
        <v>153</v>
      </c>
      <c r="B154" s="1">
        <v>45599</v>
      </c>
      <c r="C154" t="s">
        <v>136</v>
      </c>
      <c r="D154" t="s">
        <v>139</v>
      </c>
      <c r="E154">
        <v>34</v>
      </c>
      <c r="F154">
        <v>0</v>
      </c>
      <c r="G154">
        <v>0</v>
      </c>
      <c r="H154">
        <v>52700</v>
      </c>
      <c r="I154" t="str">
        <f>TEXT(RTN_AND_ALIBAG_MARKET_SALES[[#This Row],[DATE]],"mmm")</f>
        <v>Nov</v>
      </c>
      <c r="J154" t="str">
        <f>TRIM(RTN_AND_ALIBAG_MARKET_SALES[[#This Row],[NICK NAME]])</f>
        <v>STAR</v>
      </c>
    </row>
    <row r="155" spans="1:10" x14ac:dyDescent="0.25">
      <c r="A155">
        <v>154</v>
      </c>
      <c r="B155" s="1">
        <v>45600</v>
      </c>
      <c r="C155" t="s">
        <v>33</v>
      </c>
      <c r="D155" t="s">
        <v>34</v>
      </c>
      <c r="E155">
        <v>23</v>
      </c>
      <c r="F155">
        <v>2000</v>
      </c>
      <c r="G155">
        <v>3</v>
      </c>
      <c r="H155">
        <v>58150</v>
      </c>
      <c r="I155" t="str">
        <f>TEXT(RTN_AND_ALIBAG_MARKET_SALES[[#This Row],[DATE]],"mmm")</f>
        <v>Nov</v>
      </c>
      <c r="J155" t="str">
        <f>TRIM(RTN_AND_ALIBAG_MARKET_SALES[[#This Row],[NICK NAME]])</f>
        <v>CM</v>
      </c>
    </row>
    <row r="156" spans="1:10" x14ac:dyDescent="0.25">
      <c r="A156">
        <v>155</v>
      </c>
      <c r="B156" s="1">
        <v>45600</v>
      </c>
      <c r="C156" t="s">
        <v>35</v>
      </c>
      <c r="D156" t="s">
        <v>36</v>
      </c>
      <c r="E156">
        <v>10</v>
      </c>
      <c r="F156">
        <v>0</v>
      </c>
      <c r="G156">
        <v>0</v>
      </c>
      <c r="H156">
        <v>26000</v>
      </c>
      <c r="I156" t="str">
        <f>TEXT(RTN_AND_ALIBAG_MARKET_SALES[[#This Row],[DATE]],"mmm")</f>
        <v>Nov</v>
      </c>
      <c r="J156" t="str">
        <f>TRIM(RTN_AND_ALIBAG_MARKET_SALES[[#This Row],[NICK NAME]])</f>
        <v>MKM</v>
      </c>
    </row>
    <row r="157" spans="1:10" x14ac:dyDescent="0.25">
      <c r="A157">
        <v>156</v>
      </c>
      <c r="B157" s="1">
        <v>45600</v>
      </c>
      <c r="C157" t="s">
        <v>37</v>
      </c>
      <c r="D157" t="s">
        <v>38</v>
      </c>
      <c r="E157">
        <v>50</v>
      </c>
      <c r="F157">
        <v>0</v>
      </c>
      <c r="G157">
        <v>0</v>
      </c>
      <c r="H157">
        <v>86250</v>
      </c>
      <c r="I157" t="str">
        <f>TEXT(RTN_AND_ALIBAG_MARKET_SALES[[#This Row],[DATE]],"mmm")</f>
        <v>Nov</v>
      </c>
      <c r="J157" t="str">
        <f>TRIM(RTN_AND_ALIBAG_MARKET_SALES[[#This Row],[NICK NAME]])</f>
        <v>LH</v>
      </c>
    </row>
    <row r="158" spans="1:10" x14ac:dyDescent="0.25">
      <c r="A158">
        <v>157</v>
      </c>
      <c r="B158" s="1">
        <v>45600</v>
      </c>
      <c r="C158" t="s">
        <v>39</v>
      </c>
      <c r="D158" t="s">
        <v>40</v>
      </c>
      <c r="E158">
        <v>12</v>
      </c>
      <c r="F158">
        <v>0</v>
      </c>
      <c r="G158">
        <v>0</v>
      </c>
      <c r="H158">
        <v>34350</v>
      </c>
      <c r="I158" t="str">
        <f>TEXT(RTN_AND_ALIBAG_MARKET_SALES[[#This Row],[DATE]],"mmm")</f>
        <v>Nov</v>
      </c>
      <c r="J158" t="str">
        <f>TRIM(RTN_AND_ALIBAG_MARKET_SALES[[#This Row],[NICK NAME]])</f>
        <v>KSB</v>
      </c>
    </row>
    <row r="159" spans="1:10" x14ac:dyDescent="0.25">
      <c r="A159">
        <v>158</v>
      </c>
      <c r="B159" s="1">
        <v>45600</v>
      </c>
      <c r="C159" t="s">
        <v>7</v>
      </c>
      <c r="D159" t="s">
        <v>8</v>
      </c>
      <c r="E159">
        <v>2</v>
      </c>
      <c r="F159">
        <v>0</v>
      </c>
      <c r="G159">
        <v>0</v>
      </c>
      <c r="H159">
        <v>4500</v>
      </c>
      <c r="I159" t="str">
        <f>TEXT(RTN_AND_ALIBAG_MARKET_SALES[[#This Row],[DATE]],"mmm")</f>
        <v>Nov</v>
      </c>
      <c r="J159" t="str">
        <f>TRIM(RTN_AND_ALIBAG_MARKET_SALES[[#This Row],[NICK NAME]])</f>
        <v>HMS</v>
      </c>
    </row>
    <row r="160" spans="1:10" x14ac:dyDescent="0.25">
      <c r="A160">
        <v>159</v>
      </c>
      <c r="B160" s="1">
        <v>45600</v>
      </c>
      <c r="C160" t="s">
        <v>46</v>
      </c>
      <c r="D160" t="s">
        <v>137</v>
      </c>
      <c r="E160">
        <v>15</v>
      </c>
      <c r="F160">
        <v>0</v>
      </c>
      <c r="G160">
        <v>0</v>
      </c>
      <c r="H160">
        <v>39600</v>
      </c>
      <c r="I160" t="str">
        <f>TEXT(RTN_AND_ALIBAG_MARKET_SALES[[#This Row],[DATE]],"mmm")</f>
        <v>Nov</v>
      </c>
      <c r="J160" t="str">
        <f>TRIM(RTN_AND_ALIBAG_MARKET_SALES[[#This Row],[NICK NAME]])</f>
        <v>RS</v>
      </c>
    </row>
    <row r="161" spans="1:10" x14ac:dyDescent="0.25">
      <c r="A161">
        <v>160</v>
      </c>
      <c r="B161" s="1">
        <v>45601</v>
      </c>
      <c r="C161" t="s">
        <v>23</v>
      </c>
      <c r="D161" t="s">
        <v>24</v>
      </c>
      <c r="E161">
        <v>16</v>
      </c>
      <c r="F161">
        <v>0</v>
      </c>
      <c r="G161">
        <v>0</v>
      </c>
      <c r="H161">
        <v>31300</v>
      </c>
      <c r="I161" t="str">
        <f>TEXT(RTN_AND_ALIBAG_MARKET_SALES[[#This Row],[DATE]],"mmm")</f>
        <v>Nov</v>
      </c>
      <c r="J161" t="str">
        <f>TRIM(RTN_AND_ALIBAG_MARKET_SALES[[#This Row],[NICK NAME]])</f>
        <v>CHS</v>
      </c>
    </row>
    <row r="162" spans="1:10" x14ac:dyDescent="0.25">
      <c r="A162">
        <v>161</v>
      </c>
      <c r="B162" s="1">
        <v>45601</v>
      </c>
      <c r="C162" t="s">
        <v>41</v>
      </c>
      <c r="D162" t="s">
        <v>12</v>
      </c>
      <c r="E162">
        <v>20</v>
      </c>
      <c r="F162">
        <v>0</v>
      </c>
      <c r="G162">
        <v>0</v>
      </c>
      <c r="H162">
        <v>35600</v>
      </c>
      <c r="I162" t="str">
        <f>TEXT(RTN_AND_ALIBAG_MARKET_SALES[[#This Row],[DATE]],"mmm")</f>
        <v>Nov</v>
      </c>
      <c r="J162" t="str">
        <f>TRIM(RTN_AND_ALIBAG_MARKET_SALES[[#This Row],[NICK NAME]])</f>
        <v>TWK</v>
      </c>
    </row>
    <row r="163" spans="1:10" x14ac:dyDescent="0.25">
      <c r="A163">
        <v>162</v>
      </c>
      <c r="B163" s="1">
        <v>45601</v>
      </c>
      <c r="C163" t="s">
        <v>7</v>
      </c>
      <c r="D163" t="s">
        <v>42</v>
      </c>
      <c r="E163">
        <v>2</v>
      </c>
      <c r="F163">
        <v>0</v>
      </c>
      <c r="G163">
        <v>0</v>
      </c>
      <c r="H163">
        <v>5700</v>
      </c>
      <c r="I163" t="str">
        <f>TEXT(RTN_AND_ALIBAG_MARKET_SALES[[#This Row],[DATE]],"mmm")</f>
        <v>Nov</v>
      </c>
      <c r="J163" t="str">
        <f>TRIM(RTN_AND_ALIBAG_MARKET_SALES[[#This Row],[NICK NAME]])</f>
        <v>BH</v>
      </c>
    </row>
    <row r="164" spans="1:10" x14ac:dyDescent="0.25">
      <c r="A164">
        <v>163</v>
      </c>
      <c r="B164" s="1">
        <v>45602</v>
      </c>
      <c r="C164" t="s">
        <v>43</v>
      </c>
      <c r="D164" t="s">
        <v>22</v>
      </c>
      <c r="E164">
        <v>30</v>
      </c>
      <c r="F164">
        <v>0</v>
      </c>
      <c r="G164">
        <v>0</v>
      </c>
      <c r="H164">
        <v>42000</v>
      </c>
      <c r="I164" t="str">
        <f>TEXT(RTN_AND_ALIBAG_MARKET_SALES[[#This Row],[DATE]],"mmm")</f>
        <v>Nov</v>
      </c>
      <c r="J164" t="str">
        <f>TRIM(RTN_AND_ALIBAG_MARKET_SALES[[#This Row],[NICK NAME]])</f>
        <v>YSN</v>
      </c>
    </row>
    <row r="165" spans="1:10" x14ac:dyDescent="0.25">
      <c r="A165">
        <v>164</v>
      </c>
      <c r="B165" s="1">
        <v>45602</v>
      </c>
      <c r="C165" t="s">
        <v>13</v>
      </c>
      <c r="D165" t="s">
        <v>14</v>
      </c>
      <c r="E165">
        <v>24</v>
      </c>
      <c r="F165">
        <v>3000</v>
      </c>
      <c r="G165">
        <v>10</v>
      </c>
      <c r="H165">
        <v>34940</v>
      </c>
      <c r="I165" t="str">
        <f>TEXT(RTN_AND_ALIBAG_MARKET_SALES[[#This Row],[DATE]],"mmm")</f>
        <v>Nov</v>
      </c>
      <c r="J165" t="str">
        <f>TRIM(RTN_AND_ALIBAG_MARKET_SALES[[#This Row],[NICK NAME]])</f>
        <v>SHA</v>
      </c>
    </row>
    <row r="166" spans="1:10" x14ac:dyDescent="0.25">
      <c r="A166">
        <v>165</v>
      </c>
      <c r="B166" s="1">
        <v>45602</v>
      </c>
      <c r="C166" t="s">
        <v>44</v>
      </c>
      <c r="D166" t="s">
        <v>45</v>
      </c>
      <c r="E166">
        <v>20</v>
      </c>
      <c r="F166">
        <v>0</v>
      </c>
      <c r="G166">
        <v>0</v>
      </c>
      <c r="H166">
        <v>24500</v>
      </c>
      <c r="I166" t="str">
        <f>TEXT(RTN_AND_ALIBAG_MARKET_SALES[[#This Row],[DATE]],"mmm")</f>
        <v>Nov</v>
      </c>
      <c r="J166" t="str">
        <f>TRIM(RTN_AND_ALIBAG_MARKET_SALES[[#This Row],[NICK NAME]])</f>
        <v>BISMI</v>
      </c>
    </row>
    <row r="167" spans="1:10" x14ac:dyDescent="0.25">
      <c r="A167">
        <v>166</v>
      </c>
      <c r="B167" s="1">
        <v>45603</v>
      </c>
      <c r="C167" t="s">
        <v>46</v>
      </c>
      <c r="D167" t="s">
        <v>47</v>
      </c>
      <c r="E167">
        <v>15</v>
      </c>
      <c r="F167">
        <v>0</v>
      </c>
      <c r="G167">
        <v>0</v>
      </c>
      <c r="H167">
        <v>30000</v>
      </c>
      <c r="I167" t="str">
        <f>TEXT(RTN_AND_ALIBAG_MARKET_SALES[[#This Row],[DATE]],"mmm")</f>
        <v>Nov</v>
      </c>
      <c r="J167" t="str">
        <f>TRIM(RTN_AND_ALIBAG_MARKET_SALES[[#This Row],[NICK NAME]])</f>
        <v>AS</v>
      </c>
    </row>
    <row r="168" spans="1:10" x14ac:dyDescent="0.25">
      <c r="A168">
        <v>167</v>
      </c>
      <c r="B168" s="1">
        <v>45603</v>
      </c>
      <c r="C168" t="s">
        <v>138</v>
      </c>
      <c r="D168" t="s">
        <v>139</v>
      </c>
      <c r="E168">
        <v>63</v>
      </c>
      <c r="F168">
        <v>0</v>
      </c>
      <c r="G168">
        <v>0</v>
      </c>
      <c r="H168">
        <v>229500</v>
      </c>
      <c r="I168" t="str">
        <f>TEXT(RTN_AND_ALIBAG_MARKET_SALES[[#This Row],[DATE]],"mmm")</f>
        <v>Nov</v>
      </c>
      <c r="J168" t="str">
        <f>TRIM(RTN_AND_ALIBAG_MARKET_SALES[[#This Row],[NICK NAME]])</f>
        <v>STAR</v>
      </c>
    </row>
    <row r="169" spans="1:10" x14ac:dyDescent="0.25">
      <c r="A169">
        <v>168</v>
      </c>
      <c r="B169" s="1">
        <v>45605</v>
      </c>
      <c r="C169" t="s">
        <v>140</v>
      </c>
      <c r="D169" t="s">
        <v>132</v>
      </c>
      <c r="E169">
        <v>115</v>
      </c>
      <c r="F169">
        <v>0</v>
      </c>
      <c r="G169">
        <v>0</v>
      </c>
      <c r="H169">
        <v>256000</v>
      </c>
      <c r="I169" t="str">
        <f>TEXT(RTN_AND_ALIBAG_MARKET_SALES[[#This Row],[DATE]],"mmm")</f>
        <v>Nov</v>
      </c>
      <c r="J169" t="str">
        <f>TRIM(RTN_AND_ALIBAG_MARKET_SALES[[#This Row],[NICK NAME]])</f>
        <v>KNSF</v>
      </c>
    </row>
    <row r="170" spans="1:10" x14ac:dyDescent="0.25">
      <c r="A170">
        <v>169</v>
      </c>
      <c r="B170" s="1">
        <v>45605</v>
      </c>
      <c r="C170" t="s">
        <v>120</v>
      </c>
      <c r="D170" t="s">
        <v>55</v>
      </c>
      <c r="E170">
        <v>31</v>
      </c>
      <c r="F170">
        <v>0</v>
      </c>
      <c r="G170">
        <v>0</v>
      </c>
      <c r="H170">
        <v>47800</v>
      </c>
      <c r="I170" t="str">
        <f>TEXT(RTN_AND_ALIBAG_MARKET_SALES[[#This Row],[DATE]],"mmm")</f>
        <v>Nov</v>
      </c>
      <c r="J170" t="str">
        <f>TRIM(RTN_AND_ALIBAG_MARKET_SALES[[#This Row],[NICK NAME]])</f>
        <v>EBF</v>
      </c>
    </row>
    <row r="171" spans="1:10" x14ac:dyDescent="0.25">
      <c r="A171">
        <v>170</v>
      </c>
      <c r="B171" s="1">
        <v>45605</v>
      </c>
      <c r="C171" t="s">
        <v>7</v>
      </c>
      <c r="D171" t="s">
        <v>8</v>
      </c>
      <c r="E171">
        <v>12</v>
      </c>
      <c r="F171">
        <v>0</v>
      </c>
      <c r="G171">
        <v>0</v>
      </c>
      <c r="H171">
        <v>24000</v>
      </c>
      <c r="I171" t="str">
        <f>TEXT(RTN_AND_ALIBAG_MARKET_SALES[[#This Row],[DATE]],"mmm")</f>
        <v>Nov</v>
      </c>
      <c r="J171" t="str">
        <f>TRIM(RTN_AND_ALIBAG_MARKET_SALES[[#This Row],[NICK NAME]])</f>
        <v>HMS</v>
      </c>
    </row>
    <row r="172" spans="1:10" x14ac:dyDescent="0.25">
      <c r="A172">
        <v>171</v>
      </c>
      <c r="B172" s="1">
        <v>45606</v>
      </c>
      <c r="C172" t="s">
        <v>141</v>
      </c>
      <c r="D172" t="s">
        <v>47</v>
      </c>
      <c r="E172">
        <v>24</v>
      </c>
      <c r="F172">
        <v>0</v>
      </c>
      <c r="G172">
        <v>0</v>
      </c>
      <c r="H172">
        <v>45200</v>
      </c>
      <c r="I172" t="str">
        <f>TEXT(RTN_AND_ALIBAG_MARKET_SALES[[#This Row],[DATE]],"mmm")</f>
        <v>Nov</v>
      </c>
      <c r="J172" t="str">
        <f>TRIM(RTN_AND_ALIBAG_MARKET_SALES[[#This Row],[NICK NAME]])</f>
        <v>AS</v>
      </c>
    </row>
    <row r="173" spans="1:10" x14ac:dyDescent="0.25">
      <c r="A173">
        <v>172</v>
      </c>
      <c r="B173" s="1">
        <v>45607</v>
      </c>
      <c r="C173" t="s">
        <v>15</v>
      </c>
      <c r="D173" t="s">
        <v>16</v>
      </c>
      <c r="E173">
        <v>86</v>
      </c>
      <c r="F173">
        <v>0</v>
      </c>
      <c r="G173">
        <v>0</v>
      </c>
      <c r="H173">
        <v>156850</v>
      </c>
      <c r="I173" t="str">
        <f>TEXT(RTN_AND_ALIBAG_MARKET_SALES[[#This Row],[DATE]],"mmm")</f>
        <v>Nov</v>
      </c>
      <c r="J173" t="str">
        <f>TRIM(RTN_AND_ALIBAG_MARKET_SALES[[#This Row],[NICK NAME]])</f>
        <v>LF</v>
      </c>
    </row>
    <row r="174" spans="1:10" x14ac:dyDescent="0.25">
      <c r="A174">
        <v>173</v>
      </c>
      <c r="B174" s="1">
        <v>45607</v>
      </c>
      <c r="C174" t="s">
        <v>142</v>
      </c>
      <c r="D174" t="s">
        <v>10</v>
      </c>
      <c r="E174">
        <v>7</v>
      </c>
      <c r="F174">
        <v>0</v>
      </c>
      <c r="G174">
        <v>0</v>
      </c>
      <c r="H174">
        <v>14700</v>
      </c>
      <c r="I174" t="str">
        <f>TEXT(RTN_AND_ALIBAG_MARKET_SALES[[#This Row],[DATE]],"mmm")</f>
        <v>Nov</v>
      </c>
      <c r="J174" t="str">
        <f>TRIM(RTN_AND_ALIBAG_MARKET_SALES[[#This Row],[NICK NAME]])</f>
        <v>TSF</v>
      </c>
    </row>
    <row r="175" spans="1:10" x14ac:dyDescent="0.25">
      <c r="A175">
        <v>174</v>
      </c>
      <c r="B175" s="1">
        <v>45607</v>
      </c>
      <c r="C175" t="s">
        <v>21</v>
      </c>
      <c r="D175" t="s">
        <v>22</v>
      </c>
      <c r="E175">
        <v>17</v>
      </c>
      <c r="F175">
        <v>0</v>
      </c>
      <c r="G175">
        <v>0</v>
      </c>
      <c r="H175">
        <v>37850</v>
      </c>
      <c r="I175" t="str">
        <f>TEXT(RTN_AND_ALIBAG_MARKET_SALES[[#This Row],[DATE]],"mmm")</f>
        <v>Nov</v>
      </c>
      <c r="J175" t="str">
        <f>TRIM(RTN_AND_ALIBAG_MARKET_SALES[[#This Row],[NICK NAME]])</f>
        <v>YSN</v>
      </c>
    </row>
    <row r="176" spans="1:10" x14ac:dyDescent="0.25">
      <c r="A176">
        <v>175</v>
      </c>
      <c r="B176" s="1">
        <v>45607</v>
      </c>
      <c r="C176" t="s">
        <v>145</v>
      </c>
      <c r="D176" t="s">
        <v>94</v>
      </c>
      <c r="E176">
        <v>26</v>
      </c>
      <c r="F176">
        <v>0</v>
      </c>
      <c r="G176">
        <v>0</v>
      </c>
      <c r="H176">
        <v>68570</v>
      </c>
      <c r="I176" t="str">
        <f>TEXT(RTN_AND_ALIBAG_MARKET_SALES[[#This Row],[DATE]],"mmm")</f>
        <v>Nov</v>
      </c>
      <c r="J176" t="str">
        <f>TRIM(RTN_AND_ALIBAG_MARKET_SALES[[#This Row],[NICK NAME]])</f>
        <v>OMS</v>
      </c>
    </row>
    <row r="177" spans="1:10" x14ac:dyDescent="0.25">
      <c r="A177">
        <v>176</v>
      </c>
      <c r="B177" s="1">
        <v>45608</v>
      </c>
      <c r="C177" t="s">
        <v>143</v>
      </c>
      <c r="D177" t="s">
        <v>14</v>
      </c>
      <c r="E177">
        <v>15</v>
      </c>
      <c r="F177">
        <v>3000</v>
      </c>
      <c r="G177">
        <v>11</v>
      </c>
      <c r="H177">
        <v>25440</v>
      </c>
      <c r="I177" t="str">
        <f>TEXT(RTN_AND_ALIBAG_MARKET_SALES[[#This Row],[DATE]],"mmm")</f>
        <v>Nov</v>
      </c>
      <c r="J177" t="str">
        <f>TRIM(RTN_AND_ALIBAG_MARKET_SALES[[#This Row],[NICK NAME]])</f>
        <v>SHA</v>
      </c>
    </row>
    <row r="178" spans="1:10" x14ac:dyDescent="0.25">
      <c r="A178">
        <v>177</v>
      </c>
      <c r="B178" s="1">
        <v>45608</v>
      </c>
      <c r="C178" t="s">
        <v>142</v>
      </c>
      <c r="D178" t="s">
        <v>10</v>
      </c>
      <c r="E178">
        <v>10</v>
      </c>
      <c r="F178">
        <v>0</v>
      </c>
      <c r="G178">
        <v>0</v>
      </c>
      <c r="H178">
        <v>22000</v>
      </c>
      <c r="I178" t="str">
        <f>TEXT(RTN_AND_ALIBAG_MARKET_SALES[[#This Row],[DATE]],"mmm")</f>
        <v>Nov</v>
      </c>
      <c r="J178" t="str">
        <f>TRIM(RTN_AND_ALIBAG_MARKET_SALES[[#This Row],[NICK NAME]])</f>
        <v>TSF</v>
      </c>
    </row>
    <row r="179" spans="1:10" x14ac:dyDescent="0.25">
      <c r="A179">
        <v>178</v>
      </c>
      <c r="B179" s="1">
        <v>45608</v>
      </c>
      <c r="C179" t="s">
        <v>23</v>
      </c>
      <c r="D179" t="s">
        <v>24</v>
      </c>
      <c r="E179">
        <v>19</v>
      </c>
      <c r="F179">
        <v>0</v>
      </c>
      <c r="G179">
        <v>0</v>
      </c>
      <c r="H179">
        <v>40800</v>
      </c>
      <c r="I179" t="str">
        <f>TEXT(RTN_AND_ALIBAG_MARKET_SALES[[#This Row],[DATE]],"mmm")</f>
        <v>Nov</v>
      </c>
      <c r="J179" t="str">
        <f>TRIM(RTN_AND_ALIBAG_MARKET_SALES[[#This Row],[NICK NAME]])</f>
        <v>CHS</v>
      </c>
    </row>
    <row r="180" spans="1:10" x14ac:dyDescent="0.25">
      <c r="A180">
        <v>179</v>
      </c>
      <c r="B180" s="1">
        <v>45608</v>
      </c>
      <c r="C180" t="s">
        <v>46</v>
      </c>
      <c r="D180" t="s">
        <v>47</v>
      </c>
      <c r="E180">
        <v>4</v>
      </c>
      <c r="F180">
        <v>0</v>
      </c>
      <c r="G180">
        <v>0</v>
      </c>
      <c r="H180">
        <v>6700</v>
      </c>
      <c r="I180" t="str">
        <f>TEXT(RTN_AND_ALIBAG_MARKET_SALES[[#This Row],[DATE]],"mmm")</f>
        <v>Nov</v>
      </c>
      <c r="J180" t="str">
        <f>TRIM(RTN_AND_ALIBAG_MARKET_SALES[[#This Row],[NICK NAME]])</f>
        <v>AS</v>
      </c>
    </row>
    <row r="181" spans="1:10" x14ac:dyDescent="0.25">
      <c r="A181">
        <v>180</v>
      </c>
      <c r="B181" s="1">
        <v>45608</v>
      </c>
      <c r="C181" t="s">
        <v>146</v>
      </c>
      <c r="D181" t="s">
        <v>12</v>
      </c>
      <c r="E181">
        <v>30</v>
      </c>
      <c r="F181">
        <v>0</v>
      </c>
      <c r="G181">
        <v>0</v>
      </c>
      <c r="H181">
        <v>62400</v>
      </c>
      <c r="I181" t="str">
        <f>TEXT(RTN_AND_ALIBAG_MARKET_SALES[[#This Row],[DATE]],"mmm")</f>
        <v>Nov</v>
      </c>
      <c r="J181" t="str">
        <f>TRIM(RTN_AND_ALIBAG_MARKET_SALES[[#This Row],[NICK NAME]])</f>
        <v>TWK</v>
      </c>
    </row>
    <row r="182" spans="1:10" x14ac:dyDescent="0.25">
      <c r="A182">
        <v>181</v>
      </c>
      <c r="B182" s="1">
        <v>45608</v>
      </c>
      <c r="C182" t="s">
        <v>108</v>
      </c>
      <c r="D182" t="s">
        <v>68</v>
      </c>
      <c r="E182">
        <v>26</v>
      </c>
      <c r="F182">
        <v>0</v>
      </c>
      <c r="G182">
        <v>0</v>
      </c>
      <c r="H182">
        <v>48750</v>
      </c>
      <c r="I182" t="str">
        <f>TEXT(RTN_AND_ALIBAG_MARKET_SALES[[#This Row],[DATE]],"mmm")</f>
        <v>Nov</v>
      </c>
      <c r="J182" t="str">
        <f>TRIM(RTN_AND_ALIBAG_MARKET_SALES[[#This Row],[NICK NAME]])</f>
        <v>AKT</v>
      </c>
    </row>
    <row r="183" spans="1:10" x14ac:dyDescent="0.25">
      <c r="A183">
        <v>182</v>
      </c>
      <c r="B183" s="1">
        <v>45608</v>
      </c>
      <c r="C183" t="s">
        <v>109</v>
      </c>
      <c r="D183" t="s">
        <v>70</v>
      </c>
      <c r="E183">
        <v>5</v>
      </c>
      <c r="F183">
        <v>0</v>
      </c>
      <c r="G183">
        <v>0</v>
      </c>
      <c r="H183">
        <v>13200</v>
      </c>
      <c r="I183" t="str">
        <f>TEXT(RTN_AND_ALIBAG_MARKET_SALES[[#This Row],[DATE]],"mmm")</f>
        <v>Nov</v>
      </c>
      <c r="J183" t="str">
        <f>TRIM(RTN_AND_ALIBAG_MARKET_SALES[[#This Row],[NICK NAME]])</f>
        <v>FRIENDS</v>
      </c>
    </row>
    <row r="184" spans="1:10" x14ac:dyDescent="0.25">
      <c r="A184">
        <v>183</v>
      </c>
      <c r="B184" s="1">
        <v>45608</v>
      </c>
      <c r="C184" t="s">
        <v>7</v>
      </c>
      <c r="D184" t="s">
        <v>31</v>
      </c>
      <c r="E184">
        <v>47</v>
      </c>
      <c r="F184">
        <v>5000</v>
      </c>
      <c r="G184">
        <v>33</v>
      </c>
      <c r="H184">
        <v>89100</v>
      </c>
      <c r="I184" t="str">
        <f>TEXT(RTN_AND_ALIBAG_MARKET_SALES[[#This Row],[DATE]],"mmm")</f>
        <v>Nov</v>
      </c>
      <c r="J184" t="str">
        <f>TRIM(RTN_AND_ALIBAG_MARKET_SALES[[#This Row],[NICK NAME]])</f>
        <v>EPN</v>
      </c>
    </row>
    <row r="185" spans="1:10" x14ac:dyDescent="0.25">
      <c r="A185">
        <v>184</v>
      </c>
      <c r="B185" s="1">
        <v>45609</v>
      </c>
      <c r="C185" t="s">
        <v>143</v>
      </c>
      <c r="D185" t="s">
        <v>14</v>
      </c>
      <c r="E185">
        <v>21</v>
      </c>
      <c r="F185">
        <v>3000</v>
      </c>
      <c r="G185">
        <v>12</v>
      </c>
      <c r="H185">
        <v>23180</v>
      </c>
      <c r="I185" t="str">
        <f>TEXT(RTN_AND_ALIBAG_MARKET_SALES[[#This Row],[DATE]],"mmm")</f>
        <v>Nov</v>
      </c>
      <c r="J185" t="str">
        <f>TRIM(RTN_AND_ALIBAG_MARKET_SALES[[#This Row],[NICK NAME]])</f>
        <v>SHA</v>
      </c>
    </row>
    <row r="186" spans="1:10" x14ac:dyDescent="0.25">
      <c r="A186">
        <v>185</v>
      </c>
      <c r="B186" s="1">
        <v>45609</v>
      </c>
      <c r="C186" t="s">
        <v>21</v>
      </c>
      <c r="D186" t="s">
        <v>22</v>
      </c>
      <c r="E186">
        <v>20</v>
      </c>
      <c r="F186">
        <v>0</v>
      </c>
      <c r="G186">
        <v>0</v>
      </c>
      <c r="H186">
        <v>29700</v>
      </c>
      <c r="I186" t="str">
        <f>TEXT(RTN_AND_ALIBAG_MARKET_SALES[[#This Row],[DATE]],"mmm")</f>
        <v>Nov</v>
      </c>
      <c r="J186" t="str">
        <f>TRIM(RTN_AND_ALIBAG_MARKET_SALES[[#This Row],[NICK NAME]])</f>
        <v>YSN</v>
      </c>
    </row>
    <row r="187" spans="1:10" x14ac:dyDescent="0.25">
      <c r="A187">
        <v>186</v>
      </c>
      <c r="B187" s="1">
        <v>45610</v>
      </c>
      <c r="C187" t="s">
        <v>123</v>
      </c>
      <c r="D187" t="s">
        <v>20</v>
      </c>
      <c r="E187">
        <v>5</v>
      </c>
      <c r="F187">
        <v>0</v>
      </c>
      <c r="G187">
        <v>0</v>
      </c>
      <c r="H187">
        <v>11500</v>
      </c>
      <c r="I187" t="str">
        <f>TEXT(RTN_AND_ALIBAG_MARKET_SALES[[#This Row],[DATE]],"mmm")</f>
        <v>Nov</v>
      </c>
      <c r="J187" t="str">
        <f>TRIM(RTN_AND_ALIBAG_MARKET_SALES[[#This Row],[NICK NAME]])</f>
        <v>RSF</v>
      </c>
    </row>
    <row r="188" spans="1:10" x14ac:dyDescent="0.25">
      <c r="A188">
        <v>187</v>
      </c>
      <c r="B188" s="1">
        <v>45610</v>
      </c>
      <c r="C188" t="s">
        <v>147</v>
      </c>
      <c r="D188" t="s">
        <v>148</v>
      </c>
      <c r="E188">
        <v>16</v>
      </c>
      <c r="F188">
        <v>0</v>
      </c>
      <c r="G188">
        <v>0</v>
      </c>
      <c r="H188">
        <v>38000</v>
      </c>
      <c r="I188" t="str">
        <f>TEXT(RTN_AND_ALIBAG_MARKET_SALES[[#This Row],[DATE]],"mmm")</f>
        <v>Nov</v>
      </c>
      <c r="J188" t="str">
        <f>TRIM(RTN_AND_ALIBAG_MARKET_SALES[[#This Row],[NICK NAME]])</f>
        <v>KKV</v>
      </c>
    </row>
    <row r="189" spans="1:10" x14ac:dyDescent="0.25">
      <c r="A189">
        <v>188</v>
      </c>
      <c r="B189" s="1">
        <v>45610</v>
      </c>
      <c r="C189" t="s">
        <v>15</v>
      </c>
      <c r="D189" t="s">
        <v>16</v>
      </c>
      <c r="E189">
        <v>13</v>
      </c>
      <c r="F189">
        <v>0</v>
      </c>
      <c r="G189">
        <v>0</v>
      </c>
      <c r="H189">
        <v>28800</v>
      </c>
      <c r="I189" t="str">
        <f>TEXT(RTN_AND_ALIBAG_MARKET_SALES[[#This Row],[DATE]],"mmm")</f>
        <v>Nov</v>
      </c>
      <c r="J189" t="str">
        <f>TRIM(RTN_AND_ALIBAG_MARKET_SALES[[#This Row],[NICK NAME]])</f>
        <v>LF</v>
      </c>
    </row>
    <row r="190" spans="1:10" x14ac:dyDescent="0.25">
      <c r="A190">
        <v>189</v>
      </c>
      <c r="B190" s="1">
        <v>45610</v>
      </c>
      <c r="C190" t="s">
        <v>149</v>
      </c>
      <c r="D190" t="s">
        <v>10</v>
      </c>
      <c r="E190">
        <v>78</v>
      </c>
      <c r="F190">
        <v>0</v>
      </c>
      <c r="G190">
        <v>0</v>
      </c>
      <c r="H190">
        <v>174800</v>
      </c>
      <c r="I190" t="str">
        <f>TEXT(RTN_AND_ALIBAG_MARKET_SALES[[#This Row],[DATE]],"mmm")</f>
        <v>Nov</v>
      </c>
      <c r="J190" t="str">
        <f>TRIM(RTN_AND_ALIBAG_MARKET_SALES[[#This Row],[NICK NAME]])</f>
        <v>TSF</v>
      </c>
    </row>
    <row r="191" spans="1:10" x14ac:dyDescent="0.25">
      <c r="A191">
        <v>190</v>
      </c>
      <c r="B191" s="1">
        <v>45611</v>
      </c>
      <c r="C191" t="s">
        <v>123</v>
      </c>
      <c r="D191" t="s">
        <v>20</v>
      </c>
      <c r="E191">
        <v>68</v>
      </c>
      <c r="F191">
        <v>0</v>
      </c>
      <c r="G191">
        <v>0</v>
      </c>
      <c r="H191">
        <v>153400</v>
      </c>
      <c r="I191" t="str">
        <f>TEXT(RTN_AND_ALIBAG_MARKET_SALES[[#This Row],[DATE]],"mmm")</f>
        <v>Nov</v>
      </c>
      <c r="J191" t="str">
        <f>TRIM(RTN_AND_ALIBAG_MARKET_SALES[[#This Row],[NICK NAME]])</f>
        <v>RSF</v>
      </c>
    </row>
    <row r="192" spans="1:10" x14ac:dyDescent="0.25">
      <c r="A192">
        <v>191</v>
      </c>
      <c r="B192" s="1">
        <v>45611</v>
      </c>
      <c r="C192" t="s">
        <v>150</v>
      </c>
      <c r="D192" t="s">
        <v>148</v>
      </c>
      <c r="E192">
        <v>20</v>
      </c>
      <c r="F192">
        <v>0</v>
      </c>
      <c r="G192">
        <v>0</v>
      </c>
      <c r="H192">
        <v>43900</v>
      </c>
      <c r="I192" t="str">
        <f>TEXT(RTN_AND_ALIBAG_MARKET_SALES[[#This Row],[DATE]],"mmm")</f>
        <v>Nov</v>
      </c>
      <c r="J192" t="str">
        <f>TRIM(RTN_AND_ALIBAG_MARKET_SALES[[#This Row],[NICK NAME]])</f>
        <v>KKV</v>
      </c>
    </row>
    <row r="193" spans="1:10" x14ac:dyDescent="0.25">
      <c r="A193">
        <v>192</v>
      </c>
      <c r="B193" s="1">
        <v>45611</v>
      </c>
      <c r="C193" t="s">
        <v>151</v>
      </c>
      <c r="D193" t="s">
        <v>138</v>
      </c>
      <c r="E193">
        <v>50</v>
      </c>
      <c r="F193">
        <v>0</v>
      </c>
      <c r="G193">
        <v>0</v>
      </c>
      <c r="H193">
        <v>150500</v>
      </c>
      <c r="I193" t="str">
        <f>TEXT(RTN_AND_ALIBAG_MARKET_SALES[[#This Row],[DATE]],"mmm")</f>
        <v>Nov</v>
      </c>
      <c r="J193" t="str">
        <f>TRIM(RTN_AND_ALIBAG_MARKET_SALES[[#This Row],[NICK NAME]])</f>
        <v>Y-PIN</v>
      </c>
    </row>
    <row r="194" spans="1:10" x14ac:dyDescent="0.25">
      <c r="A194">
        <v>193</v>
      </c>
      <c r="B194" s="1">
        <v>45611</v>
      </c>
      <c r="C194" t="s">
        <v>25</v>
      </c>
      <c r="D194" t="s">
        <v>12</v>
      </c>
      <c r="E194">
        <v>1</v>
      </c>
      <c r="F194">
        <v>0</v>
      </c>
      <c r="G194">
        <v>0</v>
      </c>
      <c r="H194">
        <v>2100</v>
      </c>
      <c r="I194" t="str">
        <f>TEXT(RTN_AND_ALIBAG_MARKET_SALES[[#This Row],[DATE]],"mmm")</f>
        <v>Nov</v>
      </c>
      <c r="J194" t="str">
        <f>TRIM(RTN_AND_ALIBAG_MARKET_SALES[[#This Row],[NICK NAME]])</f>
        <v>TWK</v>
      </c>
    </row>
    <row r="195" spans="1:10" x14ac:dyDescent="0.25">
      <c r="A195">
        <v>194</v>
      </c>
      <c r="B195" s="1">
        <v>45612</v>
      </c>
      <c r="C195" t="s">
        <v>15</v>
      </c>
      <c r="D195" t="s">
        <v>16</v>
      </c>
      <c r="E195">
        <v>30</v>
      </c>
      <c r="F195">
        <v>0</v>
      </c>
      <c r="G195">
        <v>0</v>
      </c>
      <c r="H195">
        <v>53600</v>
      </c>
      <c r="I195" t="str">
        <f>TEXT(RTN_AND_ALIBAG_MARKET_SALES[[#This Row],[DATE]],"mmm")</f>
        <v>Nov</v>
      </c>
      <c r="J195" t="str">
        <f>TRIM(RTN_AND_ALIBAG_MARKET_SALES[[#This Row],[NICK NAME]])</f>
        <v>LF</v>
      </c>
    </row>
    <row r="196" spans="1:10" x14ac:dyDescent="0.25">
      <c r="A196">
        <v>195</v>
      </c>
      <c r="B196" s="1">
        <v>45612</v>
      </c>
      <c r="C196" t="s">
        <v>21</v>
      </c>
      <c r="D196" t="s">
        <v>22</v>
      </c>
      <c r="E196">
        <v>15</v>
      </c>
      <c r="F196">
        <v>0</v>
      </c>
      <c r="G196">
        <v>0</v>
      </c>
      <c r="H196">
        <v>28200</v>
      </c>
      <c r="I196" t="str">
        <f>TEXT(RTN_AND_ALIBAG_MARKET_SALES[[#This Row],[DATE]],"mmm")</f>
        <v>Nov</v>
      </c>
      <c r="J196" t="str">
        <f>TRIM(RTN_AND_ALIBAG_MARKET_SALES[[#This Row],[NICK NAME]])</f>
        <v>YSN</v>
      </c>
    </row>
    <row r="197" spans="1:10" x14ac:dyDescent="0.25">
      <c r="A197">
        <v>196</v>
      </c>
      <c r="B197" s="1">
        <v>45612</v>
      </c>
      <c r="C197" t="s">
        <v>107</v>
      </c>
      <c r="D197" t="s">
        <v>84</v>
      </c>
      <c r="E197">
        <v>22</v>
      </c>
      <c r="F197">
        <v>0</v>
      </c>
      <c r="G197">
        <v>0</v>
      </c>
      <c r="H197">
        <v>37450</v>
      </c>
      <c r="I197" t="str">
        <f>TEXT(RTN_AND_ALIBAG_MARKET_SALES[[#This Row],[DATE]],"mmm")</f>
        <v>Nov</v>
      </c>
      <c r="J197" t="str">
        <f>TRIM(RTN_AND_ALIBAG_MARKET_SALES[[#This Row],[NICK NAME]])</f>
        <v>JNS</v>
      </c>
    </row>
    <row r="198" spans="1:10" x14ac:dyDescent="0.25">
      <c r="A198">
        <v>197</v>
      </c>
      <c r="B198" s="1">
        <v>45612</v>
      </c>
      <c r="C198" t="s">
        <v>13</v>
      </c>
      <c r="D198" t="s">
        <v>14</v>
      </c>
      <c r="E198">
        <v>15</v>
      </c>
      <c r="F198">
        <v>3000</v>
      </c>
      <c r="G198">
        <v>13</v>
      </c>
      <c r="H198">
        <v>27200</v>
      </c>
      <c r="I198" t="str">
        <f>TEXT(RTN_AND_ALIBAG_MARKET_SALES[[#This Row],[DATE]],"mmm")</f>
        <v>Nov</v>
      </c>
      <c r="J198" t="str">
        <f>TRIM(RTN_AND_ALIBAG_MARKET_SALES[[#This Row],[NICK NAME]])</f>
        <v>SHA</v>
      </c>
    </row>
    <row r="199" spans="1:10" x14ac:dyDescent="0.25">
      <c r="A199">
        <v>198</v>
      </c>
      <c r="B199" s="1">
        <v>45612</v>
      </c>
      <c r="C199" t="s">
        <v>152</v>
      </c>
      <c r="D199" t="s">
        <v>153</v>
      </c>
      <c r="E199">
        <v>2</v>
      </c>
      <c r="F199">
        <v>0</v>
      </c>
      <c r="G199">
        <v>0</v>
      </c>
      <c r="H199">
        <v>6190</v>
      </c>
      <c r="I199" t="str">
        <f>TEXT(RTN_AND_ALIBAG_MARKET_SALES[[#This Row],[DATE]],"mmm")</f>
        <v>Nov</v>
      </c>
      <c r="J199" t="str">
        <f>TRIM(RTN_AND_ALIBAG_MARKET_SALES[[#This Row],[NICK NAME]])</f>
        <v>7 STAR SEA FOOD</v>
      </c>
    </row>
    <row r="200" spans="1:10" x14ac:dyDescent="0.25">
      <c r="A200">
        <v>199</v>
      </c>
      <c r="B200" s="1">
        <v>45612</v>
      </c>
      <c r="C200" t="s">
        <v>15</v>
      </c>
      <c r="D200" t="s">
        <v>16</v>
      </c>
      <c r="E200">
        <v>240</v>
      </c>
      <c r="F200">
        <v>0</v>
      </c>
      <c r="G200">
        <v>0</v>
      </c>
      <c r="H200">
        <v>355300</v>
      </c>
      <c r="I200" t="str">
        <f>TEXT(RTN_AND_ALIBAG_MARKET_SALES[[#This Row],[DATE]],"mmm")</f>
        <v>Nov</v>
      </c>
      <c r="J200" t="str">
        <f>TRIM(RTN_AND_ALIBAG_MARKET_SALES[[#This Row],[NICK NAME]])</f>
        <v>LF</v>
      </c>
    </row>
    <row r="201" spans="1:10" x14ac:dyDescent="0.25">
      <c r="A201">
        <v>200</v>
      </c>
      <c r="B201" s="1">
        <v>45613</v>
      </c>
      <c r="C201" t="s">
        <v>107</v>
      </c>
      <c r="D201" t="s">
        <v>84</v>
      </c>
      <c r="E201">
        <v>10</v>
      </c>
      <c r="F201">
        <v>0</v>
      </c>
      <c r="G201">
        <v>0</v>
      </c>
      <c r="H201">
        <v>17800</v>
      </c>
      <c r="I201" t="str">
        <f>TEXT(RTN_AND_ALIBAG_MARKET_SALES[[#This Row],[DATE]],"mmm")</f>
        <v>Nov</v>
      </c>
      <c r="J201" t="str">
        <f>TRIM(RTN_AND_ALIBAG_MARKET_SALES[[#This Row],[NICK NAME]])</f>
        <v>JNS</v>
      </c>
    </row>
    <row r="202" spans="1:10" x14ac:dyDescent="0.25">
      <c r="A202">
        <v>201</v>
      </c>
      <c r="B202" s="1">
        <v>45614</v>
      </c>
      <c r="C202" t="s">
        <v>155</v>
      </c>
      <c r="D202" t="s">
        <v>94</v>
      </c>
      <c r="E202">
        <v>108</v>
      </c>
      <c r="F202">
        <v>0</v>
      </c>
      <c r="G202">
        <v>0</v>
      </c>
      <c r="H202">
        <v>230650</v>
      </c>
      <c r="I202" t="str">
        <f>TEXT(RTN_AND_ALIBAG_MARKET_SALES[[#This Row],[DATE]],"mmm")</f>
        <v>Nov</v>
      </c>
      <c r="J202" t="str">
        <f>TRIM(RTN_AND_ALIBAG_MARKET_SALES[[#This Row],[NICK NAME]])</f>
        <v>OMS</v>
      </c>
    </row>
    <row r="203" spans="1:10" x14ac:dyDescent="0.25">
      <c r="A203">
        <v>202</v>
      </c>
      <c r="B203" s="1">
        <v>45614</v>
      </c>
      <c r="C203" t="s">
        <v>91</v>
      </c>
      <c r="D203" t="s">
        <v>92</v>
      </c>
      <c r="E203">
        <v>32</v>
      </c>
      <c r="F203">
        <v>0</v>
      </c>
      <c r="G203">
        <v>0</v>
      </c>
      <c r="H203">
        <v>73920</v>
      </c>
      <c r="I203" t="str">
        <f>TEXT(RTN_AND_ALIBAG_MARKET_SALES[[#This Row],[DATE]],"mmm")</f>
        <v>Nov</v>
      </c>
      <c r="J203" t="str">
        <f>TRIM(RTN_AND_ALIBAG_MARKET_SALES[[#This Row],[NICK NAME]])</f>
        <v>PPC</v>
      </c>
    </row>
    <row r="204" spans="1:10" x14ac:dyDescent="0.25">
      <c r="A204">
        <v>203</v>
      </c>
      <c r="B204" s="1">
        <v>45614</v>
      </c>
      <c r="C204" t="s">
        <v>33</v>
      </c>
      <c r="D204" t="s">
        <v>34</v>
      </c>
      <c r="E204">
        <v>20</v>
      </c>
      <c r="F204">
        <v>2000</v>
      </c>
      <c r="G204">
        <v>4</v>
      </c>
      <c r="H204">
        <v>45770</v>
      </c>
      <c r="I204" t="str">
        <f>TEXT(RTN_AND_ALIBAG_MARKET_SALES[[#This Row],[DATE]],"mmm")</f>
        <v>Nov</v>
      </c>
      <c r="J204" t="str">
        <f>TRIM(RTN_AND_ALIBAG_MARKET_SALES[[#This Row],[NICK NAME]])</f>
        <v>CM</v>
      </c>
    </row>
    <row r="205" spans="1:10" x14ac:dyDescent="0.25">
      <c r="A205">
        <v>204</v>
      </c>
      <c r="B205" s="1">
        <v>45614</v>
      </c>
      <c r="C205" t="s">
        <v>156</v>
      </c>
      <c r="D205" t="s">
        <v>90</v>
      </c>
      <c r="E205">
        <v>40</v>
      </c>
      <c r="F205">
        <v>5000</v>
      </c>
      <c r="G205">
        <v>3</v>
      </c>
      <c r="H205">
        <v>83550</v>
      </c>
      <c r="I205" t="str">
        <f>TEXT(RTN_AND_ALIBAG_MARKET_SALES[[#This Row],[DATE]],"mmm")</f>
        <v>Nov</v>
      </c>
      <c r="J205" t="str">
        <f>TRIM(RTN_AND_ALIBAG_MARKET_SALES[[#This Row],[NICK NAME]])</f>
        <v>TTS</v>
      </c>
    </row>
    <row r="206" spans="1:10" x14ac:dyDescent="0.25">
      <c r="A206">
        <v>205</v>
      </c>
      <c r="B206" s="1">
        <v>45615</v>
      </c>
      <c r="C206" t="s">
        <v>149</v>
      </c>
      <c r="D206" t="s">
        <v>10</v>
      </c>
      <c r="E206">
        <v>39</v>
      </c>
      <c r="F206">
        <v>0</v>
      </c>
      <c r="G206">
        <v>0</v>
      </c>
      <c r="H206">
        <v>84600</v>
      </c>
      <c r="I206" t="str">
        <f>TEXT(RTN_AND_ALIBAG_MARKET_SALES[[#This Row],[DATE]],"mmm")</f>
        <v>Nov</v>
      </c>
      <c r="J206" t="str">
        <f>TRIM(RTN_AND_ALIBAG_MARKET_SALES[[#This Row],[NICK NAME]])</f>
        <v>TSF</v>
      </c>
    </row>
    <row r="207" spans="1:10" x14ac:dyDescent="0.25">
      <c r="A207">
        <v>206</v>
      </c>
      <c r="B207" s="1">
        <v>45616</v>
      </c>
      <c r="C207" t="s">
        <v>157</v>
      </c>
      <c r="D207" t="s">
        <v>158</v>
      </c>
      <c r="E207">
        <v>107</v>
      </c>
      <c r="F207">
        <v>2000</v>
      </c>
      <c r="G207">
        <v>3</v>
      </c>
      <c r="H207">
        <v>222240</v>
      </c>
      <c r="I207" t="str">
        <f>TEXT(RTN_AND_ALIBAG_MARKET_SALES[[#This Row],[DATE]],"mmm")</f>
        <v>Nov</v>
      </c>
      <c r="J207" t="str">
        <f>TRIM(RTN_AND_ALIBAG_MARKET_SALES[[#This Row],[NICK NAME]])</f>
        <v>GFR</v>
      </c>
    </row>
    <row r="208" spans="1:10" x14ac:dyDescent="0.25">
      <c r="A208">
        <v>207</v>
      </c>
      <c r="B208" s="1">
        <v>45616</v>
      </c>
      <c r="C208" t="s">
        <v>143</v>
      </c>
      <c r="D208" t="s">
        <v>14</v>
      </c>
      <c r="E208">
        <v>30</v>
      </c>
      <c r="F208">
        <v>3000</v>
      </c>
      <c r="G208">
        <v>14</v>
      </c>
      <c r="H208">
        <v>61800</v>
      </c>
      <c r="I208" t="str">
        <f>TEXT(RTN_AND_ALIBAG_MARKET_SALES[[#This Row],[DATE]],"mmm")</f>
        <v>Nov</v>
      </c>
      <c r="J208" t="str">
        <f>TRIM(RTN_AND_ALIBAG_MARKET_SALES[[#This Row],[NICK NAME]])</f>
        <v>SHA</v>
      </c>
    </row>
    <row r="209" spans="1:10" x14ac:dyDescent="0.25">
      <c r="A209">
        <v>208</v>
      </c>
      <c r="B209" s="1">
        <v>45617</v>
      </c>
      <c r="C209" t="s">
        <v>159</v>
      </c>
      <c r="D209" t="s">
        <v>20</v>
      </c>
      <c r="E209">
        <v>56</v>
      </c>
      <c r="F209">
        <v>0</v>
      </c>
      <c r="G209">
        <v>0</v>
      </c>
      <c r="H209">
        <v>118400</v>
      </c>
      <c r="I209" t="str">
        <f>TEXT(RTN_AND_ALIBAG_MARKET_SALES[[#This Row],[DATE]],"mmm")</f>
        <v>Nov</v>
      </c>
      <c r="J209" t="str">
        <f>TRIM(RTN_AND_ALIBAG_MARKET_SALES[[#This Row],[NICK NAME]])</f>
        <v>RSF</v>
      </c>
    </row>
    <row r="210" spans="1:10" x14ac:dyDescent="0.25">
      <c r="A210">
        <v>209</v>
      </c>
      <c r="B210" s="1">
        <v>45617</v>
      </c>
      <c r="C210" t="s">
        <v>141</v>
      </c>
      <c r="D210" t="s">
        <v>47</v>
      </c>
      <c r="E210">
        <v>41</v>
      </c>
      <c r="F210">
        <v>0</v>
      </c>
      <c r="G210">
        <v>0</v>
      </c>
      <c r="H210">
        <v>136000</v>
      </c>
      <c r="I210" t="str">
        <f>TEXT(RTN_AND_ALIBAG_MARKET_SALES[[#This Row],[DATE]],"mmm")</f>
        <v>Nov</v>
      </c>
      <c r="J210" t="str">
        <f>TRIM(RTN_AND_ALIBAG_MARKET_SALES[[#This Row],[NICK NAME]])</f>
        <v>AS</v>
      </c>
    </row>
    <row r="211" spans="1:10" x14ac:dyDescent="0.25">
      <c r="A211">
        <v>210</v>
      </c>
      <c r="B211" s="1">
        <v>45617</v>
      </c>
      <c r="C211" t="s">
        <v>9</v>
      </c>
      <c r="D211" t="s">
        <v>10</v>
      </c>
      <c r="E211">
        <v>73</v>
      </c>
      <c r="F211">
        <v>0</v>
      </c>
      <c r="G211">
        <v>0</v>
      </c>
      <c r="H211">
        <v>115000</v>
      </c>
      <c r="I211" t="str">
        <f>TEXT(RTN_AND_ALIBAG_MARKET_SALES[[#This Row],[DATE]],"mmm")</f>
        <v>Nov</v>
      </c>
      <c r="J211" t="str">
        <f>TRIM(RTN_AND_ALIBAG_MARKET_SALES[[#This Row],[NICK NAME]])</f>
        <v>TSF</v>
      </c>
    </row>
    <row r="212" spans="1:10" x14ac:dyDescent="0.25">
      <c r="A212">
        <v>211</v>
      </c>
      <c r="B212" s="1">
        <v>45617</v>
      </c>
      <c r="C212" t="s">
        <v>9</v>
      </c>
      <c r="D212" t="s">
        <v>10</v>
      </c>
      <c r="E212">
        <v>24</v>
      </c>
      <c r="F212">
        <v>0</v>
      </c>
      <c r="G212">
        <v>0</v>
      </c>
      <c r="H212">
        <v>37600</v>
      </c>
      <c r="I212" t="str">
        <f>TEXT(RTN_AND_ALIBAG_MARKET_SALES[[#This Row],[DATE]],"mmm")</f>
        <v>Nov</v>
      </c>
      <c r="J212" t="str">
        <f>TRIM(RTN_AND_ALIBAG_MARKET_SALES[[#This Row],[NICK NAME]])</f>
        <v>TSF</v>
      </c>
    </row>
    <row r="213" spans="1:10" x14ac:dyDescent="0.25">
      <c r="A213">
        <v>212</v>
      </c>
      <c r="B213" s="1">
        <v>45618</v>
      </c>
      <c r="C213" t="s">
        <v>157</v>
      </c>
      <c r="D213" t="s">
        <v>153</v>
      </c>
      <c r="E213">
        <v>34</v>
      </c>
      <c r="F213">
        <v>0</v>
      </c>
      <c r="G213">
        <v>0</v>
      </c>
      <c r="H213">
        <v>34650</v>
      </c>
      <c r="I213" t="str">
        <f>TEXT(RTN_AND_ALIBAG_MARKET_SALES[[#This Row],[DATE]],"mmm")</f>
        <v>Nov</v>
      </c>
      <c r="J213" t="str">
        <f>TRIM(RTN_AND_ALIBAG_MARKET_SALES[[#This Row],[NICK NAME]])</f>
        <v>7 STAR SEA FOOD</v>
      </c>
    </row>
    <row r="214" spans="1:10" x14ac:dyDescent="0.25">
      <c r="A214">
        <v>213</v>
      </c>
      <c r="B214" s="1">
        <v>45618</v>
      </c>
      <c r="C214" t="s">
        <v>157</v>
      </c>
      <c r="D214" t="s">
        <v>153</v>
      </c>
      <c r="E214">
        <v>5</v>
      </c>
      <c r="F214">
        <v>0</v>
      </c>
      <c r="G214">
        <v>0</v>
      </c>
      <c r="H214">
        <v>11065</v>
      </c>
      <c r="I214" t="str">
        <f>TEXT(RTN_AND_ALIBAG_MARKET_SALES[[#This Row],[DATE]],"mmm")</f>
        <v>Nov</v>
      </c>
      <c r="J214" t="str">
        <f>TRIM(RTN_AND_ALIBAG_MARKET_SALES[[#This Row],[NICK NAME]])</f>
        <v>7 STAR SEA FOOD</v>
      </c>
    </row>
    <row r="215" spans="1:10" x14ac:dyDescent="0.25">
      <c r="A215">
        <v>214</v>
      </c>
      <c r="B215" s="1">
        <v>45619</v>
      </c>
      <c r="C215" t="s">
        <v>15</v>
      </c>
      <c r="D215" t="s">
        <v>172</v>
      </c>
      <c r="E215">
        <v>89</v>
      </c>
      <c r="F215">
        <v>0</v>
      </c>
      <c r="G215">
        <v>0</v>
      </c>
      <c r="H215">
        <v>112000</v>
      </c>
      <c r="I215" t="str">
        <f>TEXT(RTN_AND_ALIBAG_MARKET_SALES[[#This Row],[DATE]],"mmm")</f>
        <v>Nov</v>
      </c>
      <c r="J215" t="str">
        <f>TRIM(RTN_AND_ALIBAG_MARKET_SALES[[#This Row],[NICK NAME]])</f>
        <v>LF</v>
      </c>
    </row>
    <row r="216" spans="1:10" x14ac:dyDescent="0.25">
      <c r="A216">
        <v>215</v>
      </c>
      <c r="B216" s="1">
        <v>45619</v>
      </c>
      <c r="C216" t="s">
        <v>21</v>
      </c>
      <c r="D216" t="s">
        <v>22</v>
      </c>
      <c r="E216">
        <v>20</v>
      </c>
      <c r="F216">
        <v>0</v>
      </c>
      <c r="G216">
        <v>0</v>
      </c>
      <c r="H216">
        <v>24300</v>
      </c>
      <c r="I216" t="str">
        <f>TEXT(RTN_AND_ALIBAG_MARKET_SALES[[#This Row],[DATE]],"mmm")</f>
        <v>Nov</v>
      </c>
      <c r="J216" t="str">
        <f>TRIM(RTN_AND_ALIBAG_MARKET_SALES[[#This Row],[NICK NAME]])</f>
        <v>YSN</v>
      </c>
    </row>
    <row r="217" spans="1:10" x14ac:dyDescent="0.25">
      <c r="A217">
        <v>216</v>
      </c>
      <c r="B217" s="1">
        <v>45619</v>
      </c>
      <c r="C217" t="s">
        <v>13</v>
      </c>
      <c r="D217" t="s">
        <v>14</v>
      </c>
      <c r="E217">
        <v>20</v>
      </c>
      <c r="F217">
        <v>3000</v>
      </c>
      <c r="G217">
        <v>15</v>
      </c>
      <c r="H217">
        <v>20840</v>
      </c>
      <c r="I217" t="str">
        <f>TEXT(RTN_AND_ALIBAG_MARKET_SALES[[#This Row],[DATE]],"mmm")</f>
        <v>Nov</v>
      </c>
      <c r="J217" t="str">
        <f>TRIM(RTN_AND_ALIBAG_MARKET_SALES[[#This Row],[NICK NAME]])</f>
        <v>SHA</v>
      </c>
    </row>
    <row r="218" spans="1:10" x14ac:dyDescent="0.25">
      <c r="A218">
        <v>217</v>
      </c>
      <c r="B218" s="1">
        <v>45620</v>
      </c>
      <c r="C218" t="s">
        <v>154</v>
      </c>
      <c r="D218" t="s">
        <v>148</v>
      </c>
      <c r="E218">
        <v>54</v>
      </c>
      <c r="F218">
        <v>0</v>
      </c>
      <c r="G218">
        <v>0</v>
      </c>
      <c r="H218">
        <v>22350</v>
      </c>
      <c r="I218" t="str">
        <f>TEXT(RTN_AND_ALIBAG_MARKET_SALES[[#This Row],[DATE]],"mmm")</f>
        <v>Nov</v>
      </c>
      <c r="J218" t="str">
        <f>TRIM(RTN_AND_ALIBAG_MARKET_SALES[[#This Row],[NICK NAME]])</f>
        <v>KKV</v>
      </c>
    </row>
    <row r="219" spans="1:10" x14ac:dyDescent="0.25">
      <c r="A219">
        <v>218</v>
      </c>
      <c r="B219" s="1">
        <v>45620</v>
      </c>
      <c r="C219" t="s">
        <v>19</v>
      </c>
      <c r="D219" t="s">
        <v>20</v>
      </c>
      <c r="E219">
        <v>59</v>
      </c>
      <c r="F219">
        <v>0</v>
      </c>
      <c r="G219">
        <v>0</v>
      </c>
      <c r="H219">
        <v>76900</v>
      </c>
      <c r="I219" t="str">
        <f>TEXT(RTN_AND_ALIBAG_MARKET_SALES[[#This Row],[DATE]],"mmm")</f>
        <v>Nov</v>
      </c>
      <c r="J219" t="str">
        <f>TRIM(RTN_AND_ALIBAG_MARKET_SALES[[#This Row],[NICK NAME]])</f>
        <v>RSF</v>
      </c>
    </row>
    <row r="220" spans="1:10" x14ac:dyDescent="0.25">
      <c r="A220">
        <v>219</v>
      </c>
      <c r="B220" s="1">
        <v>45620</v>
      </c>
      <c r="C220" t="s">
        <v>173</v>
      </c>
      <c r="D220" t="s">
        <v>148</v>
      </c>
      <c r="E220">
        <v>12</v>
      </c>
      <c r="F220">
        <v>0</v>
      </c>
      <c r="G220">
        <v>0</v>
      </c>
      <c r="H220">
        <v>17700</v>
      </c>
      <c r="I220" t="str">
        <f>TEXT(RTN_AND_ALIBAG_MARKET_SALES[[#This Row],[DATE]],"mmm")</f>
        <v>Nov</v>
      </c>
      <c r="J220" t="str">
        <f>TRIM(RTN_AND_ALIBAG_MARKET_SALES[[#This Row],[NICK NAME]])</f>
        <v>KKV</v>
      </c>
    </row>
    <row r="221" spans="1:10" x14ac:dyDescent="0.25">
      <c r="A221">
        <v>220</v>
      </c>
      <c r="B221" s="1">
        <v>45623</v>
      </c>
      <c r="C221" t="s">
        <v>123</v>
      </c>
      <c r="D221" t="s">
        <v>20</v>
      </c>
      <c r="E221">
        <v>72</v>
      </c>
      <c r="F221">
        <v>0</v>
      </c>
      <c r="G221">
        <v>0</v>
      </c>
      <c r="H221">
        <v>94000</v>
      </c>
      <c r="I221" t="str">
        <f>TEXT(RTN_AND_ALIBAG_MARKET_SALES[[#This Row],[DATE]],"mmm")</f>
        <v>Nov</v>
      </c>
      <c r="J221" t="str">
        <f>TRIM(RTN_AND_ALIBAG_MARKET_SALES[[#This Row],[NICK NAME]])</f>
        <v>RSF</v>
      </c>
    </row>
    <row r="222" spans="1:10" x14ac:dyDescent="0.25">
      <c r="A222">
        <v>221</v>
      </c>
      <c r="B222" s="1">
        <v>45623</v>
      </c>
      <c r="C222" t="s">
        <v>21</v>
      </c>
      <c r="D222" t="s">
        <v>22</v>
      </c>
      <c r="E222">
        <v>84</v>
      </c>
      <c r="F222">
        <v>0</v>
      </c>
      <c r="G222">
        <v>0</v>
      </c>
      <c r="H222">
        <v>109950</v>
      </c>
      <c r="I222" t="str">
        <f>TEXT(RTN_AND_ALIBAG_MARKET_SALES[[#This Row],[DATE]],"mmm")</f>
        <v>Nov</v>
      </c>
      <c r="J222" t="str">
        <f>TRIM(RTN_AND_ALIBAG_MARKET_SALES[[#This Row],[NICK NAME]])</f>
        <v>YSN</v>
      </c>
    </row>
    <row r="223" spans="1:10" x14ac:dyDescent="0.25">
      <c r="A223">
        <v>222</v>
      </c>
      <c r="B223" s="1">
        <v>45623</v>
      </c>
      <c r="C223" t="s">
        <v>7</v>
      </c>
      <c r="D223" t="s">
        <v>38</v>
      </c>
      <c r="E223">
        <v>78</v>
      </c>
      <c r="F223">
        <v>0</v>
      </c>
      <c r="G223">
        <v>0</v>
      </c>
      <c r="H223">
        <v>109710</v>
      </c>
      <c r="I223" t="str">
        <f>TEXT(RTN_AND_ALIBAG_MARKET_SALES[[#This Row],[DATE]],"mmm")</f>
        <v>Nov</v>
      </c>
      <c r="J223" t="str">
        <f>TRIM(RTN_AND_ALIBAG_MARKET_SALES[[#This Row],[NICK NAME]])</f>
        <v>LH</v>
      </c>
    </row>
    <row r="224" spans="1:10" x14ac:dyDescent="0.25">
      <c r="A224">
        <v>223</v>
      </c>
      <c r="B224" s="1">
        <v>45624</v>
      </c>
      <c r="C224" t="s">
        <v>174</v>
      </c>
      <c r="D224" t="s">
        <v>36</v>
      </c>
      <c r="E224">
        <v>17</v>
      </c>
      <c r="F224">
        <v>0</v>
      </c>
      <c r="G224">
        <v>0</v>
      </c>
      <c r="H224">
        <v>44030</v>
      </c>
      <c r="I224" t="str">
        <f>TEXT(RTN_AND_ALIBAG_MARKET_SALES[[#This Row],[DATE]],"mmm")</f>
        <v>Nov</v>
      </c>
      <c r="J224" t="str">
        <f>TRIM(RTN_AND_ALIBAG_MARKET_SALES[[#This Row],[NICK NAME]])</f>
        <v>MKM</v>
      </c>
    </row>
    <row r="225" spans="1:10" x14ac:dyDescent="0.25">
      <c r="A225">
        <v>224</v>
      </c>
      <c r="B225" s="1">
        <v>45624</v>
      </c>
      <c r="C225" t="s">
        <v>87</v>
      </c>
      <c r="D225" t="s">
        <v>88</v>
      </c>
      <c r="E225">
        <v>10</v>
      </c>
      <c r="F225">
        <v>0</v>
      </c>
      <c r="G225">
        <v>0</v>
      </c>
      <c r="H225">
        <v>26550</v>
      </c>
      <c r="I225" t="str">
        <f>TEXT(RTN_AND_ALIBAG_MARKET_SALES[[#This Row],[DATE]],"mmm")</f>
        <v>Nov</v>
      </c>
      <c r="J225" t="str">
        <f>TRIM(RTN_AND_ALIBAG_MARKET_SALES[[#This Row],[NICK NAME]])</f>
        <v>KMK</v>
      </c>
    </row>
    <row r="226" spans="1:10" x14ac:dyDescent="0.25">
      <c r="A226">
        <v>225</v>
      </c>
      <c r="B226" s="1">
        <v>45625</v>
      </c>
      <c r="C226" t="s">
        <v>109</v>
      </c>
      <c r="D226" t="s">
        <v>70</v>
      </c>
      <c r="E226">
        <v>13</v>
      </c>
      <c r="F226">
        <v>0</v>
      </c>
      <c r="G226">
        <v>0</v>
      </c>
      <c r="H226">
        <v>33450</v>
      </c>
      <c r="I226" t="str">
        <f>TEXT(RTN_AND_ALIBAG_MARKET_SALES[[#This Row],[DATE]],"mmm")</f>
        <v>Nov</v>
      </c>
      <c r="J226" t="str">
        <f>TRIM(RTN_AND_ALIBAG_MARKET_SALES[[#This Row],[NICK NAME]])</f>
        <v>FRIENDS</v>
      </c>
    </row>
    <row r="227" spans="1:10" x14ac:dyDescent="0.25">
      <c r="A227">
        <v>226</v>
      </c>
      <c r="B227" s="1">
        <v>45625</v>
      </c>
      <c r="C227" t="s">
        <v>108</v>
      </c>
      <c r="D227" t="s">
        <v>68</v>
      </c>
      <c r="E227">
        <v>5</v>
      </c>
      <c r="F227">
        <v>0</v>
      </c>
      <c r="G227">
        <v>0</v>
      </c>
      <c r="H227">
        <v>14050</v>
      </c>
      <c r="I227" t="str">
        <f>TEXT(RTN_AND_ALIBAG_MARKET_SALES[[#This Row],[DATE]],"mmm")</f>
        <v>Nov</v>
      </c>
      <c r="J227" t="str">
        <f>TRIM(RTN_AND_ALIBAG_MARKET_SALES[[#This Row],[NICK NAME]])</f>
        <v>AKT</v>
      </c>
    </row>
    <row r="228" spans="1:10" x14ac:dyDescent="0.25">
      <c r="A228">
        <v>227</v>
      </c>
      <c r="B228" s="1">
        <v>45625</v>
      </c>
      <c r="C228" t="s">
        <v>21</v>
      </c>
      <c r="D228" t="s">
        <v>22</v>
      </c>
      <c r="E228">
        <v>95</v>
      </c>
      <c r="F228">
        <v>0</v>
      </c>
      <c r="G228">
        <v>0</v>
      </c>
      <c r="H228">
        <v>124350</v>
      </c>
      <c r="I228" t="str">
        <f>TEXT(RTN_AND_ALIBAG_MARKET_SALES[[#This Row],[DATE]],"mmm")</f>
        <v>Nov</v>
      </c>
      <c r="J228" t="str">
        <f>TRIM(RTN_AND_ALIBAG_MARKET_SALES[[#This Row],[NICK NAME]])</f>
        <v>YSN</v>
      </c>
    </row>
    <row r="229" spans="1:10" x14ac:dyDescent="0.25">
      <c r="A229">
        <v>228</v>
      </c>
      <c r="B229" s="1">
        <v>45625</v>
      </c>
      <c r="C229" t="s">
        <v>175</v>
      </c>
      <c r="D229" t="s">
        <v>164</v>
      </c>
      <c r="E229">
        <v>29</v>
      </c>
      <c r="F229">
        <v>0</v>
      </c>
      <c r="G229">
        <v>0</v>
      </c>
      <c r="H229">
        <v>64820</v>
      </c>
      <c r="I229" t="str">
        <f>TEXT(RTN_AND_ALIBAG_MARKET_SALES[[#This Row],[DATE]],"mmm")</f>
        <v>Nov</v>
      </c>
      <c r="J229" t="str">
        <f>TRIM(RTN_AND_ALIBAG_MARKET_SALES[[#This Row],[NICK NAME]])</f>
        <v>PMJ</v>
      </c>
    </row>
    <row r="230" spans="1:10" x14ac:dyDescent="0.25">
      <c r="A230">
        <v>229</v>
      </c>
      <c r="B230" s="1">
        <v>45625</v>
      </c>
      <c r="C230" t="s">
        <v>15</v>
      </c>
      <c r="D230" t="s">
        <v>16</v>
      </c>
      <c r="E230">
        <v>102</v>
      </c>
      <c r="F230">
        <v>0</v>
      </c>
      <c r="G230">
        <v>0</v>
      </c>
      <c r="H230">
        <v>133600</v>
      </c>
      <c r="I230" t="str">
        <f>TEXT(RTN_AND_ALIBAG_MARKET_SALES[[#This Row],[DATE]],"mmm")</f>
        <v>Nov</v>
      </c>
      <c r="J230" t="str">
        <f>TRIM(RTN_AND_ALIBAG_MARKET_SALES[[#This Row],[NICK NAME]])</f>
        <v>LF</v>
      </c>
    </row>
    <row r="231" spans="1:10" x14ac:dyDescent="0.25">
      <c r="A231">
        <v>230</v>
      </c>
      <c r="B231" s="1">
        <v>45626</v>
      </c>
      <c r="C231" t="s">
        <v>15</v>
      </c>
      <c r="D231" t="s">
        <v>172</v>
      </c>
      <c r="E231">
        <v>77</v>
      </c>
      <c r="F231">
        <v>0</v>
      </c>
      <c r="G231">
        <v>0</v>
      </c>
      <c r="H231">
        <v>112500</v>
      </c>
      <c r="I231" t="str">
        <f>TEXT(RTN_AND_ALIBAG_MARKET_SALES[[#This Row],[DATE]],"mmm")</f>
        <v>Nov</v>
      </c>
      <c r="J231" t="str">
        <f>TRIM(RTN_AND_ALIBAG_MARKET_SALES[[#This Row],[NICK NAME]])</f>
        <v>LF</v>
      </c>
    </row>
    <row r="232" spans="1:10" x14ac:dyDescent="0.25">
      <c r="A232">
        <v>231</v>
      </c>
      <c r="B232" s="1">
        <v>45627</v>
      </c>
      <c r="C232" t="s">
        <v>123</v>
      </c>
      <c r="D232" t="s">
        <v>20</v>
      </c>
      <c r="E232">
        <v>154</v>
      </c>
      <c r="F232">
        <v>0</v>
      </c>
      <c r="G232">
        <v>0</v>
      </c>
      <c r="H232">
        <v>177900</v>
      </c>
      <c r="I232" t="str">
        <f>TEXT(RTN_AND_ALIBAG_MARKET_SALES[[#This Row],[DATE]],"mmm")</f>
        <v>Dec</v>
      </c>
      <c r="J232" t="str">
        <f>TRIM(RTN_AND_ALIBAG_MARKET_SALES[[#This Row],[NICK NAME]])</f>
        <v>RSF</v>
      </c>
    </row>
    <row r="233" spans="1:10" x14ac:dyDescent="0.25">
      <c r="A233">
        <v>232</v>
      </c>
      <c r="B233" s="1">
        <v>45627</v>
      </c>
      <c r="C233" t="s">
        <v>176</v>
      </c>
      <c r="D233" t="s">
        <v>148</v>
      </c>
      <c r="E233">
        <v>60</v>
      </c>
      <c r="F233">
        <v>0</v>
      </c>
      <c r="G233">
        <v>0</v>
      </c>
      <c r="H233">
        <v>72900</v>
      </c>
      <c r="I233" t="str">
        <f>TEXT(RTN_AND_ALIBAG_MARKET_SALES[[#This Row],[DATE]],"mmm")</f>
        <v>Dec</v>
      </c>
      <c r="J233" t="str">
        <f>TRIM(RTN_AND_ALIBAG_MARKET_SALES[[#This Row],[NICK NAME]])</f>
        <v>KKV</v>
      </c>
    </row>
    <row r="234" spans="1:10" x14ac:dyDescent="0.25">
      <c r="A234">
        <v>233</v>
      </c>
      <c r="B234" s="1">
        <v>45627</v>
      </c>
      <c r="C234" t="s">
        <v>149</v>
      </c>
      <c r="D234" t="s">
        <v>10</v>
      </c>
      <c r="E234">
        <v>24</v>
      </c>
      <c r="F234">
        <v>0</v>
      </c>
      <c r="G234">
        <v>0</v>
      </c>
      <c r="H234">
        <v>31400</v>
      </c>
      <c r="I234" t="str">
        <f>TEXT(RTN_AND_ALIBAG_MARKET_SALES[[#This Row],[DATE]],"mmm")</f>
        <v>Dec</v>
      </c>
      <c r="J234" t="str">
        <f>TRIM(RTN_AND_ALIBAG_MARKET_SALES[[#This Row],[NICK NAME]])</f>
        <v>TSF</v>
      </c>
    </row>
    <row r="235" spans="1:10" x14ac:dyDescent="0.25">
      <c r="A235">
        <v>234</v>
      </c>
      <c r="B235" s="1">
        <v>45627</v>
      </c>
      <c r="C235" t="s">
        <v>149</v>
      </c>
      <c r="D235" t="s">
        <v>10</v>
      </c>
      <c r="E235">
        <v>13</v>
      </c>
      <c r="F235">
        <v>0</v>
      </c>
      <c r="G235">
        <v>0</v>
      </c>
      <c r="H235">
        <v>12800</v>
      </c>
      <c r="I235" t="str">
        <f>TEXT(RTN_AND_ALIBAG_MARKET_SALES[[#This Row],[DATE]],"mmm")</f>
        <v>Dec</v>
      </c>
      <c r="J235" t="str">
        <f>TRIM(RTN_AND_ALIBAG_MARKET_SALES[[#This Row],[NICK NAME]])</f>
        <v>TSF</v>
      </c>
    </row>
    <row r="236" spans="1:10" x14ac:dyDescent="0.25">
      <c r="A236">
        <v>235</v>
      </c>
      <c r="B236" s="1">
        <v>45628</v>
      </c>
      <c r="C236" t="s">
        <v>177</v>
      </c>
      <c r="D236" t="s">
        <v>20</v>
      </c>
      <c r="E236">
        <v>26</v>
      </c>
      <c r="F236">
        <v>0</v>
      </c>
      <c r="G236">
        <v>0</v>
      </c>
      <c r="H236">
        <v>33800</v>
      </c>
      <c r="I236" t="str">
        <f>TEXT(RTN_AND_ALIBAG_MARKET_SALES[[#This Row],[DATE]],"mmm")</f>
        <v>Dec</v>
      </c>
      <c r="J236" t="str">
        <f>TRIM(RTN_AND_ALIBAG_MARKET_SALES[[#This Row],[NICK NAME]])</f>
        <v>RSF</v>
      </c>
    </row>
    <row r="237" spans="1:10" x14ac:dyDescent="0.25">
      <c r="A237">
        <v>236</v>
      </c>
      <c r="B237" s="1">
        <v>45628</v>
      </c>
      <c r="C237" t="s">
        <v>178</v>
      </c>
      <c r="D237" t="s">
        <v>16</v>
      </c>
      <c r="E237">
        <v>103</v>
      </c>
      <c r="F237">
        <v>0</v>
      </c>
      <c r="G237">
        <v>0</v>
      </c>
      <c r="H237">
        <v>231500</v>
      </c>
      <c r="I237" t="str">
        <f>TEXT(RTN_AND_ALIBAG_MARKET_SALES[[#This Row],[DATE]],"mmm")</f>
        <v>Dec</v>
      </c>
      <c r="J237" t="str">
        <f>TRIM(RTN_AND_ALIBAG_MARKET_SALES[[#This Row],[NICK NAME]])</f>
        <v>LF</v>
      </c>
    </row>
    <row r="238" spans="1:10" x14ac:dyDescent="0.25">
      <c r="A238">
        <v>237</v>
      </c>
      <c r="B238" s="1">
        <v>45629</v>
      </c>
      <c r="C238" t="s">
        <v>173</v>
      </c>
      <c r="D238" t="s">
        <v>148</v>
      </c>
      <c r="E238">
        <v>64</v>
      </c>
      <c r="F238">
        <v>0</v>
      </c>
      <c r="G238">
        <v>0</v>
      </c>
      <c r="H238">
        <v>105300</v>
      </c>
      <c r="I238" t="str">
        <f>TEXT(RTN_AND_ALIBAG_MARKET_SALES[[#This Row],[DATE]],"mmm")</f>
        <v>Dec</v>
      </c>
      <c r="J238" t="str">
        <f>TRIM(RTN_AND_ALIBAG_MARKET_SALES[[#This Row],[NICK NAME]])</f>
        <v>KKV</v>
      </c>
    </row>
    <row r="239" spans="1:10" x14ac:dyDescent="0.25">
      <c r="A239">
        <v>238</v>
      </c>
      <c r="B239" s="1">
        <v>45629</v>
      </c>
      <c r="C239" t="s">
        <v>179</v>
      </c>
      <c r="D239" t="s">
        <v>180</v>
      </c>
      <c r="E239">
        <v>33</v>
      </c>
      <c r="F239">
        <v>0</v>
      </c>
      <c r="G239">
        <v>0</v>
      </c>
      <c r="H239">
        <v>58000</v>
      </c>
      <c r="I239" t="str">
        <f>TEXT(RTN_AND_ALIBAG_MARKET_SALES[[#This Row],[DATE]],"mmm")</f>
        <v>Dec</v>
      </c>
      <c r="J239" t="str">
        <f>TRIM(RTN_AND_ALIBAG_MARKET_SALES[[#This Row],[NICK NAME]])</f>
        <v>ANNAI</v>
      </c>
    </row>
    <row r="240" spans="1:10" x14ac:dyDescent="0.25">
      <c r="A240">
        <v>239</v>
      </c>
      <c r="B240" s="1">
        <v>45629</v>
      </c>
      <c r="C240" t="s">
        <v>149</v>
      </c>
      <c r="D240" t="s">
        <v>10</v>
      </c>
      <c r="E240">
        <v>57</v>
      </c>
      <c r="F240">
        <v>0</v>
      </c>
      <c r="G240">
        <v>0</v>
      </c>
      <c r="H240">
        <v>99200</v>
      </c>
      <c r="I240" t="str">
        <f>TEXT(RTN_AND_ALIBAG_MARKET_SALES[[#This Row],[DATE]],"mmm")</f>
        <v>Dec</v>
      </c>
      <c r="J240" t="str">
        <f>TRIM(RTN_AND_ALIBAG_MARKET_SALES[[#This Row],[NICK NAME]])</f>
        <v>TSF</v>
      </c>
    </row>
    <row r="241" spans="1:10" x14ac:dyDescent="0.25">
      <c r="A241">
        <v>240</v>
      </c>
      <c r="B241" s="1">
        <v>45629</v>
      </c>
      <c r="C241" t="s">
        <v>149</v>
      </c>
      <c r="D241" t="s">
        <v>10</v>
      </c>
      <c r="E241">
        <v>19</v>
      </c>
      <c r="F241">
        <v>0</v>
      </c>
      <c r="G241">
        <v>0</v>
      </c>
      <c r="H241">
        <v>25050</v>
      </c>
      <c r="I241" t="str">
        <f>TEXT(RTN_AND_ALIBAG_MARKET_SALES[[#This Row],[DATE]],"mmm")</f>
        <v>Dec</v>
      </c>
      <c r="J241" t="str">
        <f>TRIM(RTN_AND_ALIBAG_MARKET_SALES[[#This Row],[NICK NAME]])</f>
        <v>TSF</v>
      </c>
    </row>
    <row r="242" spans="1:10" x14ac:dyDescent="0.25">
      <c r="A242">
        <v>241</v>
      </c>
      <c r="B242" s="1">
        <v>45630</v>
      </c>
      <c r="C242" t="s">
        <v>123</v>
      </c>
      <c r="D242" t="s">
        <v>20</v>
      </c>
      <c r="E242">
        <v>43</v>
      </c>
      <c r="F242">
        <v>0</v>
      </c>
      <c r="G242">
        <v>0</v>
      </c>
      <c r="H242">
        <v>36700</v>
      </c>
      <c r="I242" t="str">
        <f>TEXT(RTN_AND_ALIBAG_MARKET_SALES[[#This Row],[DATE]],"mmm")</f>
        <v>Dec</v>
      </c>
      <c r="J242" t="str">
        <f>TRIM(RTN_AND_ALIBAG_MARKET_SALES[[#This Row],[NICK NAME]])</f>
        <v>RSF</v>
      </c>
    </row>
    <row r="243" spans="1:10" x14ac:dyDescent="0.25">
      <c r="A243">
        <v>242</v>
      </c>
      <c r="B243" s="1">
        <v>45630</v>
      </c>
      <c r="C243" t="s">
        <v>181</v>
      </c>
      <c r="D243" t="s">
        <v>180</v>
      </c>
      <c r="E243">
        <v>35</v>
      </c>
      <c r="F243">
        <v>0</v>
      </c>
      <c r="G243">
        <v>0</v>
      </c>
      <c r="H243">
        <v>39400</v>
      </c>
      <c r="I243" t="str">
        <f>TEXT(RTN_AND_ALIBAG_MARKET_SALES[[#This Row],[DATE]],"mmm")</f>
        <v>Dec</v>
      </c>
      <c r="J243" t="str">
        <f>TRIM(RTN_AND_ALIBAG_MARKET_SALES[[#This Row],[NICK NAME]])</f>
        <v>ANNAI</v>
      </c>
    </row>
    <row r="244" spans="1:10" x14ac:dyDescent="0.25">
      <c r="A244">
        <v>243</v>
      </c>
      <c r="B244" s="1">
        <v>45630</v>
      </c>
      <c r="C244" t="s">
        <v>78</v>
      </c>
      <c r="D244" t="s">
        <v>148</v>
      </c>
      <c r="E244">
        <v>21</v>
      </c>
      <c r="F244">
        <v>0</v>
      </c>
      <c r="G244">
        <v>0</v>
      </c>
      <c r="H244">
        <v>20800</v>
      </c>
      <c r="I244" t="str">
        <f>TEXT(RTN_AND_ALIBAG_MARKET_SALES[[#This Row],[DATE]],"mmm")</f>
        <v>Dec</v>
      </c>
      <c r="J244" t="str">
        <f>TRIM(RTN_AND_ALIBAG_MARKET_SALES[[#This Row],[NICK NAME]])</f>
        <v>KKV</v>
      </c>
    </row>
    <row r="245" spans="1:10" x14ac:dyDescent="0.25">
      <c r="A245">
        <v>244</v>
      </c>
      <c r="B245" s="1">
        <v>45630</v>
      </c>
      <c r="C245" t="s">
        <v>154</v>
      </c>
      <c r="D245" t="s">
        <v>148</v>
      </c>
      <c r="E245">
        <v>25</v>
      </c>
      <c r="F245">
        <v>0</v>
      </c>
      <c r="G245">
        <v>0</v>
      </c>
      <c r="H245">
        <v>14500</v>
      </c>
      <c r="I245" t="str">
        <f>TEXT(RTN_AND_ALIBAG_MARKET_SALES[[#This Row],[DATE]],"mmm")</f>
        <v>Dec</v>
      </c>
      <c r="J245" t="str">
        <f>TRIM(RTN_AND_ALIBAG_MARKET_SALES[[#This Row],[NICK NAME]])</f>
        <v>KKV</v>
      </c>
    </row>
    <row r="246" spans="1:10" x14ac:dyDescent="0.25">
      <c r="A246">
        <v>245</v>
      </c>
      <c r="B246" s="1">
        <v>45630</v>
      </c>
      <c r="C246" t="s">
        <v>182</v>
      </c>
      <c r="D246" t="s">
        <v>183</v>
      </c>
      <c r="E246">
        <v>30</v>
      </c>
      <c r="F246">
        <v>0</v>
      </c>
      <c r="G246">
        <v>0</v>
      </c>
      <c r="H246">
        <v>85200</v>
      </c>
      <c r="I246" t="str">
        <f>TEXT(RTN_AND_ALIBAG_MARKET_SALES[[#This Row],[DATE]],"mmm")</f>
        <v>Dec</v>
      </c>
      <c r="J246" t="str">
        <f>TRIM(RTN_AND_ALIBAG_MARKET_SALES[[#This Row],[NICK NAME]])</f>
        <v>SEA DIAMOND</v>
      </c>
    </row>
    <row r="247" spans="1:10" x14ac:dyDescent="0.25">
      <c r="A247">
        <v>246</v>
      </c>
      <c r="B247" s="1">
        <v>45630</v>
      </c>
      <c r="C247" t="s">
        <v>39</v>
      </c>
      <c r="D247" t="s">
        <v>40</v>
      </c>
      <c r="E247">
        <v>30</v>
      </c>
      <c r="F247">
        <v>0</v>
      </c>
      <c r="G247">
        <v>0</v>
      </c>
      <c r="H247">
        <v>77850</v>
      </c>
      <c r="I247" t="str">
        <f>TEXT(RTN_AND_ALIBAG_MARKET_SALES[[#This Row],[DATE]],"mmm")</f>
        <v>Dec</v>
      </c>
      <c r="J247" t="str">
        <f>TRIM(RTN_AND_ALIBAG_MARKET_SALES[[#This Row],[NICK NAME]])</f>
        <v>KSB</v>
      </c>
    </row>
    <row r="248" spans="1:10" x14ac:dyDescent="0.25">
      <c r="A248">
        <v>247</v>
      </c>
      <c r="B248" s="1">
        <v>45630</v>
      </c>
      <c r="C248" t="s">
        <v>184</v>
      </c>
      <c r="D248" t="s">
        <v>90</v>
      </c>
      <c r="E248">
        <v>40</v>
      </c>
      <c r="F248">
        <v>5000</v>
      </c>
      <c r="G248">
        <v>5</v>
      </c>
      <c r="H248">
        <v>102470</v>
      </c>
      <c r="I248" t="str">
        <f>TEXT(RTN_AND_ALIBAG_MARKET_SALES[[#This Row],[DATE]],"mmm")</f>
        <v>Dec</v>
      </c>
      <c r="J248" t="str">
        <f>TRIM(RTN_AND_ALIBAG_MARKET_SALES[[#This Row],[NICK NAME]])</f>
        <v>TTS</v>
      </c>
    </row>
    <row r="249" spans="1:10" x14ac:dyDescent="0.25">
      <c r="A249">
        <v>248</v>
      </c>
      <c r="B249" s="1">
        <v>45630</v>
      </c>
      <c r="C249" t="s">
        <v>185</v>
      </c>
      <c r="D249" t="s">
        <v>94</v>
      </c>
      <c r="E249">
        <v>5</v>
      </c>
      <c r="F249">
        <v>0</v>
      </c>
      <c r="G249">
        <v>0</v>
      </c>
      <c r="H249">
        <v>14350</v>
      </c>
      <c r="I249" t="str">
        <f>TEXT(RTN_AND_ALIBAG_MARKET_SALES[[#This Row],[DATE]],"mmm")</f>
        <v>Dec</v>
      </c>
      <c r="J249" t="str">
        <f>TRIM(RTN_AND_ALIBAG_MARKET_SALES[[#This Row],[NICK NAME]])</f>
        <v>OMS</v>
      </c>
    </row>
    <row r="250" spans="1:10" x14ac:dyDescent="0.25">
      <c r="A250">
        <v>249</v>
      </c>
      <c r="B250" s="1">
        <v>45631</v>
      </c>
      <c r="C250" t="s">
        <v>186</v>
      </c>
      <c r="D250" t="s">
        <v>36</v>
      </c>
      <c r="E250">
        <v>25</v>
      </c>
      <c r="F250">
        <v>0</v>
      </c>
      <c r="G250">
        <v>0</v>
      </c>
      <c r="H250">
        <v>64750</v>
      </c>
      <c r="I250" t="str">
        <f>TEXT(RTN_AND_ALIBAG_MARKET_SALES[[#This Row],[DATE]],"mmm")</f>
        <v>Dec</v>
      </c>
      <c r="J250" t="str">
        <f>TRIM(RTN_AND_ALIBAG_MARKET_SALES[[#This Row],[NICK NAME]])</f>
        <v>MKM</v>
      </c>
    </row>
    <row r="251" spans="1:10" x14ac:dyDescent="0.25">
      <c r="A251">
        <v>250</v>
      </c>
      <c r="B251" s="1">
        <v>45631</v>
      </c>
      <c r="C251" t="s">
        <v>187</v>
      </c>
      <c r="D251" t="s">
        <v>188</v>
      </c>
      <c r="E251">
        <v>20</v>
      </c>
      <c r="F251">
        <v>0</v>
      </c>
      <c r="G251">
        <v>0</v>
      </c>
      <c r="H251">
        <v>48600</v>
      </c>
      <c r="I251" t="str">
        <f>TEXT(RTN_AND_ALIBAG_MARKET_SALES[[#This Row],[DATE]],"mmm")</f>
        <v>Dec</v>
      </c>
      <c r="J251" t="str">
        <f>TRIM(RTN_AND_ALIBAG_MARKET_SALES[[#This Row],[NICK NAME]])</f>
        <v>KPC SONS</v>
      </c>
    </row>
    <row r="252" spans="1:10" x14ac:dyDescent="0.25">
      <c r="A252">
        <v>251</v>
      </c>
      <c r="B252" s="1">
        <v>45631</v>
      </c>
      <c r="C252" t="s">
        <v>163</v>
      </c>
      <c r="D252" t="s">
        <v>164</v>
      </c>
      <c r="E252">
        <v>10</v>
      </c>
      <c r="F252">
        <v>0</v>
      </c>
      <c r="G252">
        <v>0</v>
      </c>
      <c r="H252">
        <v>21470</v>
      </c>
      <c r="I252" t="str">
        <f>TEXT(RTN_AND_ALIBAG_MARKET_SALES[[#This Row],[DATE]],"mmm")</f>
        <v>Dec</v>
      </c>
      <c r="J252" t="str">
        <f>TRIM(RTN_AND_ALIBAG_MARKET_SALES[[#This Row],[NICK NAME]])</f>
        <v>PMJ</v>
      </c>
    </row>
    <row r="253" spans="1:10" x14ac:dyDescent="0.25">
      <c r="A253">
        <v>252</v>
      </c>
      <c r="B253" s="1">
        <v>45631</v>
      </c>
      <c r="C253" t="s">
        <v>151</v>
      </c>
      <c r="D253" t="s">
        <v>138</v>
      </c>
      <c r="E253">
        <v>39</v>
      </c>
      <c r="F253">
        <v>0</v>
      </c>
      <c r="G253">
        <v>0</v>
      </c>
      <c r="H253">
        <v>113150</v>
      </c>
      <c r="I253" t="str">
        <f>TEXT(RTN_AND_ALIBAG_MARKET_SALES[[#This Row],[DATE]],"mmm")</f>
        <v>Dec</v>
      </c>
      <c r="J253" t="str">
        <f>TRIM(RTN_AND_ALIBAG_MARKET_SALES[[#This Row],[NICK NAME]])</f>
        <v>Y-PIN</v>
      </c>
    </row>
    <row r="254" spans="1:10" x14ac:dyDescent="0.25">
      <c r="A254">
        <v>253</v>
      </c>
      <c r="B254" s="1">
        <v>45632</v>
      </c>
      <c r="C254" t="s">
        <v>149</v>
      </c>
      <c r="D254" t="s">
        <v>10</v>
      </c>
      <c r="E254">
        <v>2</v>
      </c>
      <c r="F254">
        <v>0</v>
      </c>
      <c r="G254">
        <v>0</v>
      </c>
      <c r="H254">
        <v>2450</v>
      </c>
      <c r="I254" t="str">
        <f>TEXT(RTN_AND_ALIBAG_MARKET_SALES[[#This Row],[DATE]],"mmm")</f>
        <v>Dec</v>
      </c>
      <c r="J254" t="str">
        <f>TRIM(RTN_AND_ALIBAG_MARKET_SALES[[#This Row],[NICK NAME]])</f>
        <v>TSF</v>
      </c>
    </row>
    <row r="255" spans="1:10" x14ac:dyDescent="0.25">
      <c r="A255">
        <v>254</v>
      </c>
      <c r="B255" s="1">
        <v>45633</v>
      </c>
      <c r="C255" t="s">
        <v>15</v>
      </c>
      <c r="D255" t="s">
        <v>16</v>
      </c>
      <c r="E255">
        <v>122</v>
      </c>
      <c r="F255">
        <v>0</v>
      </c>
      <c r="G255">
        <v>0</v>
      </c>
      <c r="H255">
        <v>107750</v>
      </c>
      <c r="I255" t="str">
        <f>TEXT(RTN_AND_ALIBAG_MARKET_SALES[[#This Row],[DATE]],"mmm")</f>
        <v>Dec</v>
      </c>
      <c r="J255" t="str">
        <f>TRIM(RTN_AND_ALIBAG_MARKET_SALES[[#This Row],[NICK NAME]])</f>
        <v>LF</v>
      </c>
    </row>
    <row r="256" spans="1:10" x14ac:dyDescent="0.25">
      <c r="A256">
        <v>255</v>
      </c>
      <c r="B256" s="1">
        <v>45633</v>
      </c>
      <c r="C256" t="s">
        <v>189</v>
      </c>
      <c r="D256" t="s">
        <v>148</v>
      </c>
      <c r="E256">
        <v>73</v>
      </c>
      <c r="F256">
        <v>0</v>
      </c>
      <c r="G256">
        <v>0</v>
      </c>
      <c r="H256">
        <v>97500</v>
      </c>
      <c r="I256" t="str">
        <f>TEXT(RTN_AND_ALIBAG_MARKET_SALES[[#This Row],[DATE]],"mmm")</f>
        <v>Dec</v>
      </c>
      <c r="J256" t="str">
        <f>TRIM(RTN_AND_ALIBAG_MARKET_SALES[[#This Row],[NICK NAME]])</f>
        <v>KKV</v>
      </c>
    </row>
    <row r="257" spans="1:10" x14ac:dyDescent="0.25">
      <c r="A257">
        <v>256</v>
      </c>
      <c r="B257" s="1">
        <v>45633</v>
      </c>
      <c r="C257" t="s">
        <v>77</v>
      </c>
      <c r="D257" t="s">
        <v>20</v>
      </c>
      <c r="E257">
        <v>30</v>
      </c>
      <c r="F257">
        <v>0</v>
      </c>
      <c r="G257">
        <v>0</v>
      </c>
      <c r="H257">
        <v>33000</v>
      </c>
      <c r="I257" t="str">
        <f>TEXT(RTN_AND_ALIBAG_MARKET_SALES[[#This Row],[DATE]],"mmm")</f>
        <v>Dec</v>
      </c>
      <c r="J257" t="str">
        <f>TRIM(RTN_AND_ALIBAG_MARKET_SALES[[#This Row],[NICK NAME]])</f>
        <v>RSF</v>
      </c>
    </row>
    <row r="258" spans="1:10" x14ac:dyDescent="0.25">
      <c r="A258">
        <v>257</v>
      </c>
      <c r="B258" s="1">
        <v>45633</v>
      </c>
      <c r="C258" t="s">
        <v>26</v>
      </c>
      <c r="D258" t="s">
        <v>27</v>
      </c>
      <c r="E258">
        <v>2</v>
      </c>
      <c r="F258">
        <v>0</v>
      </c>
      <c r="G258">
        <v>0</v>
      </c>
      <c r="H258">
        <v>4000</v>
      </c>
      <c r="I258" t="str">
        <f>TEXT(RTN_AND_ALIBAG_MARKET_SALES[[#This Row],[DATE]],"mmm")</f>
        <v>Dec</v>
      </c>
      <c r="J258" t="str">
        <f>TRIM(RTN_AND_ALIBAG_MARKET_SALES[[#This Row],[NICK NAME]])</f>
        <v>KNH</v>
      </c>
    </row>
    <row r="259" spans="1:10" x14ac:dyDescent="0.25">
      <c r="A259">
        <v>258</v>
      </c>
      <c r="B259" s="1">
        <v>45633</v>
      </c>
      <c r="C259" t="s">
        <v>117</v>
      </c>
      <c r="D259" t="s">
        <v>24</v>
      </c>
      <c r="E259">
        <v>4</v>
      </c>
      <c r="F259">
        <v>0</v>
      </c>
      <c r="G259">
        <v>0</v>
      </c>
      <c r="H259">
        <v>7900</v>
      </c>
      <c r="I259" t="str">
        <f>TEXT(RTN_AND_ALIBAG_MARKET_SALES[[#This Row],[DATE]],"mmm")</f>
        <v>Dec</v>
      </c>
      <c r="J259" t="str">
        <f>TRIM(RTN_AND_ALIBAG_MARKET_SALES[[#This Row],[NICK NAME]])</f>
        <v>CHS</v>
      </c>
    </row>
    <row r="260" spans="1:10" x14ac:dyDescent="0.25">
      <c r="A260">
        <v>259</v>
      </c>
      <c r="B260" s="1">
        <v>45633</v>
      </c>
      <c r="C260" t="s">
        <v>141</v>
      </c>
      <c r="D260" t="s">
        <v>47</v>
      </c>
      <c r="E260">
        <v>13</v>
      </c>
      <c r="F260">
        <v>0</v>
      </c>
      <c r="G260">
        <v>0</v>
      </c>
      <c r="H260">
        <v>28900</v>
      </c>
      <c r="I260" t="str">
        <f>TEXT(RTN_AND_ALIBAG_MARKET_SALES[[#This Row],[DATE]],"mmm")</f>
        <v>Dec</v>
      </c>
      <c r="J260" t="str">
        <f>TRIM(RTN_AND_ALIBAG_MARKET_SALES[[#This Row],[NICK NAME]])</f>
        <v>AS</v>
      </c>
    </row>
    <row r="261" spans="1:10" x14ac:dyDescent="0.25">
      <c r="A261">
        <v>260</v>
      </c>
      <c r="B261" s="1">
        <v>45634</v>
      </c>
      <c r="C261" t="s">
        <v>28</v>
      </c>
      <c r="D261" t="s">
        <v>29</v>
      </c>
      <c r="E261">
        <v>11</v>
      </c>
      <c r="F261">
        <v>0</v>
      </c>
      <c r="G261">
        <v>0</v>
      </c>
      <c r="H261">
        <v>21300</v>
      </c>
      <c r="I261" t="str">
        <f>TEXT(RTN_AND_ALIBAG_MARKET_SALES[[#This Row],[DATE]],"mmm")</f>
        <v>Dec</v>
      </c>
      <c r="J261" t="str">
        <f>TRIM(RTN_AND_ALIBAG_MARKET_SALES[[#This Row],[NICK NAME]])</f>
        <v>KK</v>
      </c>
    </row>
    <row r="262" spans="1:10" x14ac:dyDescent="0.25">
      <c r="A262">
        <v>261</v>
      </c>
      <c r="B262" s="1">
        <v>45635</v>
      </c>
      <c r="C262" t="s">
        <v>15</v>
      </c>
      <c r="D262" t="s">
        <v>16</v>
      </c>
      <c r="E262">
        <v>10</v>
      </c>
      <c r="F262">
        <v>0</v>
      </c>
      <c r="G262">
        <v>0</v>
      </c>
      <c r="H262">
        <v>16800</v>
      </c>
      <c r="I262" t="str">
        <f>TEXT(RTN_AND_ALIBAG_MARKET_SALES[[#This Row],[DATE]],"mmm")</f>
        <v>Dec</v>
      </c>
      <c r="J262" t="str">
        <f>TRIM(RTN_AND_ALIBAG_MARKET_SALES[[#This Row],[NICK NAME]])</f>
        <v>LF</v>
      </c>
    </row>
    <row r="263" spans="1:10" x14ac:dyDescent="0.25">
      <c r="A263">
        <v>262</v>
      </c>
      <c r="B263" s="1">
        <v>45635</v>
      </c>
      <c r="C263" t="s">
        <v>149</v>
      </c>
      <c r="D263" t="s">
        <v>10</v>
      </c>
      <c r="E263">
        <v>17</v>
      </c>
      <c r="F263">
        <v>0</v>
      </c>
      <c r="G263">
        <v>0</v>
      </c>
      <c r="H263">
        <v>29450</v>
      </c>
      <c r="I263" t="str">
        <f>TEXT(RTN_AND_ALIBAG_MARKET_SALES[[#This Row],[DATE]],"mmm")</f>
        <v>Dec</v>
      </c>
      <c r="J263" t="str">
        <f>TRIM(RTN_AND_ALIBAG_MARKET_SALES[[#This Row],[NICK NAME]])</f>
        <v>TSF</v>
      </c>
    </row>
    <row r="264" spans="1:10" x14ac:dyDescent="0.25">
      <c r="A264">
        <v>263</v>
      </c>
      <c r="B264" s="1">
        <v>45635</v>
      </c>
      <c r="C264" t="s">
        <v>21</v>
      </c>
      <c r="D264" t="s">
        <v>22</v>
      </c>
      <c r="E264">
        <v>25</v>
      </c>
      <c r="F264">
        <v>0</v>
      </c>
      <c r="G264">
        <v>0</v>
      </c>
      <c r="H264">
        <v>48400</v>
      </c>
      <c r="I264" t="str">
        <f>TEXT(RTN_AND_ALIBAG_MARKET_SALES[[#This Row],[DATE]],"mmm")</f>
        <v>Dec</v>
      </c>
      <c r="J264" t="str">
        <f>TRIM(RTN_AND_ALIBAG_MARKET_SALES[[#This Row],[NICK NAME]])</f>
        <v>YSN</v>
      </c>
    </row>
    <row r="265" spans="1:10" x14ac:dyDescent="0.25">
      <c r="A265">
        <v>264</v>
      </c>
      <c r="B265" s="1">
        <v>45635</v>
      </c>
      <c r="C265" t="s">
        <v>15</v>
      </c>
      <c r="D265" t="s">
        <v>16</v>
      </c>
      <c r="E265">
        <v>56</v>
      </c>
      <c r="F265">
        <v>0</v>
      </c>
      <c r="G265">
        <v>0</v>
      </c>
      <c r="H265">
        <v>134200</v>
      </c>
      <c r="I265" t="str">
        <f>TEXT(RTN_AND_ALIBAG_MARKET_SALES[[#This Row],[DATE]],"mmm")</f>
        <v>Dec</v>
      </c>
      <c r="J265" t="str">
        <f>TRIM(RTN_AND_ALIBAG_MARKET_SALES[[#This Row],[NICK NAME]])</f>
        <v>LF</v>
      </c>
    </row>
    <row r="266" spans="1:10" x14ac:dyDescent="0.25">
      <c r="A266">
        <v>265</v>
      </c>
      <c r="B266" s="1">
        <v>45636</v>
      </c>
      <c r="C266" t="s">
        <v>190</v>
      </c>
      <c r="D266" t="s">
        <v>191</v>
      </c>
      <c r="E266">
        <v>36</v>
      </c>
      <c r="F266">
        <v>0</v>
      </c>
      <c r="G266">
        <v>0</v>
      </c>
      <c r="H266">
        <v>54690</v>
      </c>
      <c r="I266" t="str">
        <f>TEXT(RTN_AND_ALIBAG_MARKET_SALES[[#This Row],[DATE]],"mmm")</f>
        <v>Dec</v>
      </c>
      <c r="J266" t="str">
        <f>TRIM(RTN_AND_ALIBAG_MARKET_SALES[[#This Row],[NICK NAME]])</f>
        <v>ABV</v>
      </c>
    </row>
    <row r="267" spans="1:10" x14ac:dyDescent="0.25">
      <c r="A267">
        <v>266</v>
      </c>
      <c r="B267" s="1">
        <v>45636</v>
      </c>
      <c r="C267" t="s">
        <v>13</v>
      </c>
      <c r="D267" t="s">
        <v>14</v>
      </c>
      <c r="E267">
        <v>25</v>
      </c>
      <c r="F267">
        <v>0</v>
      </c>
      <c r="G267">
        <v>0</v>
      </c>
      <c r="H267">
        <v>38600</v>
      </c>
      <c r="I267" t="str">
        <f>TEXT(RTN_AND_ALIBAG_MARKET_SALES[[#This Row],[DATE]],"mmm")</f>
        <v>Dec</v>
      </c>
      <c r="J267" t="str">
        <f>TRIM(RTN_AND_ALIBAG_MARKET_SALES[[#This Row],[NICK NAME]])</f>
        <v>SHA</v>
      </c>
    </row>
    <row r="268" spans="1:10" x14ac:dyDescent="0.25">
      <c r="A268">
        <v>267</v>
      </c>
      <c r="B268" s="1">
        <v>45636</v>
      </c>
      <c r="C268" t="s">
        <v>192</v>
      </c>
      <c r="D268" t="s">
        <v>45</v>
      </c>
      <c r="E268">
        <v>30</v>
      </c>
      <c r="F268">
        <v>0</v>
      </c>
      <c r="G268">
        <v>0</v>
      </c>
      <c r="H268">
        <v>51300</v>
      </c>
      <c r="I268" t="str">
        <f>TEXT(RTN_AND_ALIBAG_MARKET_SALES[[#This Row],[DATE]],"mmm")</f>
        <v>Dec</v>
      </c>
      <c r="J268" t="str">
        <f>TRIM(RTN_AND_ALIBAG_MARKET_SALES[[#This Row],[NICK NAME]])</f>
        <v>BISMI</v>
      </c>
    </row>
    <row r="269" spans="1:10" x14ac:dyDescent="0.25">
      <c r="A269">
        <v>268</v>
      </c>
      <c r="B269" s="1">
        <v>45636</v>
      </c>
      <c r="C269" t="s">
        <v>21</v>
      </c>
      <c r="D269" t="s">
        <v>22</v>
      </c>
      <c r="E269">
        <v>30</v>
      </c>
      <c r="F269">
        <v>0</v>
      </c>
      <c r="G269">
        <v>0</v>
      </c>
      <c r="H269">
        <v>52700</v>
      </c>
      <c r="I269" t="str">
        <f>TEXT(RTN_AND_ALIBAG_MARKET_SALES[[#This Row],[DATE]],"mmm")</f>
        <v>Dec</v>
      </c>
      <c r="J269" t="str">
        <f>TRIM(RTN_AND_ALIBAG_MARKET_SALES[[#This Row],[NICK NAME]])</f>
        <v>YSN</v>
      </c>
    </row>
    <row r="270" spans="1:10" x14ac:dyDescent="0.25">
      <c r="A270">
        <v>269</v>
      </c>
      <c r="B270" s="1">
        <v>45636</v>
      </c>
      <c r="C270" t="s">
        <v>15</v>
      </c>
      <c r="D270" t="s">
        <v>16</v>
      </c>
      <c r="E270">
        <v>42</v>
      </c>
      <c r="F270">
        <v>0</v>
      </c>
      <c r="G270">
        <v>0</v>
      </c>
      <c r="H270">
        <v>67800</v>
      </c>
      <c r="I270" t="str">
        <f>TEXT(RTN_AND_ALIBAG_MARKET_SALES[[#This Row],[DATE]],"mmm")</f>
        <v>Dec</v>
      </c>
      <c r="J270" t="str">
        <f>TRIM(RTN_AND_ALIBAG_MARKET_SALES[[#This Row],[NICK NAME]])</f>
        <v>LF</v>
      </c>
    </row>
    <row r="271" spans="1:10" x14ac:dyDescent="0.25">
      <c r="A271">
        <v>270</v>
      </c>
      <c r="B271" s="1">
        <v>45636</v>
      </c>
      <c r="C271" t="s">
        <v>77</v>
      </c>
      <c r="D271" t="s">
        <v>20</v>
      </c>
      <c r="E271">
        <v>10</v>
      </c>
      <c r="F271">
        <v>0</v>
      </c>
      <c r="G271">
        <v>0</v>
      </c>
      <c r="H271">
        <v>15500</v>
      </c>
      <c r="I271" t="str">
        <f>TEXT(RTN_AND_ALIBAG_MARKET_SALES[[#This Row],[DATE]],"mmm")</f>
        <v>Dec</v>
      </c>
      <c r="J271" t="str">
        <f>TRIM(RTN_AND_ALIBAG_MARKET_SALES[[#This Row],[NICK NAME]])</f>
        <v>RSF</v>
      </c>
    </row>
    <row r="272" spans="1:10" x14ac:dyDescent="0.25">
      <c r="A272">
        <v>271</v>
      </c>
      <c r="B272" s="1">
        <v>45636</v>
      </c>
      <c r="C272" t="s">
        <v>173</v>
      </c>
      <c r="D272" t="s">
        <v>148</v>
      </c>
      <c r="E272">
        <v>38</v>
      </c>
      <c r="F272">
        <v>0</v>
      </c>
      <c r="G272">
        <v>0</v>
      </c>
      <c r="H272">
        <v>62300</v>
      </c>
      <c r="I272" t="str">
        <f>TEXT(RTN_AND_ALIBAG_MARKET_SALES[[#This Row],[DATE]],"mmm")</f>
        <v>Dec</v>
      </c>
      <c r="J272" t="str">
        <f>TRIM(RTN_AND_ALIBAG_MARKET_SALES[[#This Row],[NICK NAME]])</f>
        <v>KKV</v>
      </c>
    </row>
    <row r="273" spans="1:10" x14ac:dyDescent="0.25">
      <c r="A273">
        <v>272</v>
      </c>
      <c r="B273" s="1">
        <v>45636</v>
      </c>
      <c r="C273" t="s">
        <v>21</v>
      </c>
      <c r="D273" t="s">
        <v>196</v>
      </c>
      <c r="E273">
        <v>30</v>
      </c>
      <c r="F273">
        <v>0</v>
      </c>
      <c r="G273">
        <v>0</v>
      </c>
      <c r="H273">
        <v>45400</v>
      </c>
      <c r="I273" t="str">
        <f>TEXT(RTN_AND_ALIBAG_MARKET_SALES[[#This Row],[DATE]],"mmm")</f>
        <v>Dec</v>
      </c>
      <c r="J273" t="str">
        <f>TRIM(RTN_AND_ALIBAG_MARKET_SALES[[#This Row],[NICK NAME]])</f>
        <v>M RASHEED</v>
      </c>
    </row>
    <row r="274" spans="1:10" x14ac:dyDescent="0.25">
      <c r="A274">
        <v>273</v>
      </c>
      <c r="B274" s="1">
        <v>45636</v>
      </c>
      <c r="C274" t="s">
        <v>93</v>
      </c>
      <c r="D274" t="s">
        <v>94</v>
      </c>
      <c r="E274">
        <v>17</v>
      </c>
      <c r="F274">
        <v>0</v>
      </c>
      <c r="G274">
        <v>0</v>
      </c>
      <c r="H274">
        <v>103420</v>
      </c>
      <c r="I274" t="str">
        <f>TEXT(RTN_AND_ALIBAG_MARKET_SALES[[#This Row],[DATE]],"mmm")</f>
        <v>Dec</v>
      </c>
      <c r="J274" t="str">
        <f>TRIM(RTN_AND_ALIBAG_MARKET_SALES[[#This Row],[NICK NAME]])</f>
        <v>OMS</v>
      </c>
    </row>
    <row r="275" spans="1:10" x14ac:dyDescent="0.25">
      <c r="A275">
        <v>274</v>
      </c>
      <c r="B275" s="1">
        <v>45636</v>
      </c>
      <c r="C275" t="s">
        <v>174</v>
      </c>
      <c r="D275" t="s">
        <v>36</v>
      </c>
      <c r="E275">
        <v>10</v>
      </c>
      <c r="F275">
        <v>0</v>
      </c>
      <c r="G275">
        <v>0</v>
      </c>
      <c r="H275">
        <v>107300</v>
      </c>
      <c r="I275" t="str">
        <f>TEXT(RTN_AND_ALIBAG_MARKET_SALES[[#This Row],[DATE]],"mmm")</f>
        <v>Dec</v>
      </c>
      <c r="J275" t="str">
        <f>TRIM(RTN_AND_ALIBAG_MARKET_SALES[[#This Row],[NICK NAME]])</f>
        <v>MKM</v>
      </c>
    </row>
    <row r="276" spans="1:10" x14ac:dyDescent="0.25">
      <c r="A276">
        <v>275</v>
      </c>
      <c r="B276" s="1">
        <v>45636</v>
      </c>
      <c r="C276" t="s">
        <v>120</v>
      </c>
      <c r="D276" t="s">
        <v>55</v>
      </c>
      <c r="E276">
        <v>41</v>
      </c>
      <c r="F276">
        <v>0</v>
      </c>
      <c r="G276">
        <v>0</v>
      </c>
      <c r="H276">
        <v>114300</v>
      </c>
      <c r="I276" t="str">
        <f>TEXT(RTN_AND_ALIBAG_MARKET_SALES[[#This Row],[DATE]],"mmm")</f>
        <v>Dec</v>
      </c>
      <c r="J276" t="str">
        <f>TRIM(RTN_AND_ALIBAG_MARKET_SALES[[#This Row],[NICK NAME]])</f>
        <v>EBF</v>
      </c>
    </row>
    <row r="277" spans="1:10" x14ac:dyDescent="0.25">
      <c r="A277">
        <v>276</v>
      </c>
      <c r="B277" s="1">
        <v>45637</v>
      </c>
      <c r="C277" t="s">
        <v>193</v>
      </c>
      <c r="D277" t="s">
        <v>153</v>
      </c>
      <c r="E277">
        <v>37</v>
      </c>
      <c r="F277">
        <v>2000</v>
      </c>
      <c r="G277">
        <v>6</v>
      </c>
      <c r="H277">
        <v>54060</v>
      </c>
      <c r="I277" t="str">
        <f>TEXT(RTN_AND_ALIBAG_MARKET_SALES[[#This Row],[DATE]],"mmm")</f>
        <v>Dec</v>
      </c>
      <c r="J277" t="str">
        <f>TRIM(RTN_AND_ALIBAG_MARKET_SALES[[#This Row],[NICK NAME]])</f>
        <v>7 STAR SEA FOOD</v>
      </c>
    </row>
    <row r="278" spans="1:10" x14ac:dyDescent="0.25">
      <c r="A278">
        <v>277</v>
      </c>
      <c r="B278" s="1">
        <v>45637</v>
      </c>
      <c r="C278" t="s">
        <v>157</v>
      </c>
      <c r="D278" t="s">
        <v>194</v>
      </c>
      <c r="E278">
        <v>17</v>
      </c>
      <c r="F278">
        <v>0</v>
      </c>
      <c r="G278">
        <v>0</v>
      </c>
      <c r="H278">
        <v>32820</v>
      </c>
      <c r="I278" t="str">
        <f>TEXT(RTN_AND_ALIBAG_MARKET_SALES[[#This Row],[DATE]],"mmm")</f>
        <v>Dec</v>
      </c>
      <c r="J278" t="str">
        <f>TRIM(RTN_AND_ALIBAG_MARKET_SALES[[#This Row],[NICK NAME]])</f>
        <v>SSISH</v>
      </c>
    </row>
    <row r="279" spans="1:10" x14ac:dyDescent="0.25">
      <c r="A279">
        <v>278</v>
      </c>
      <c r="B279" s="1">
        <v>45637</v>
      </c>
      <c r="C279" t="s">
        <v>15</v>
      </c>
      <c r="D279" t="s">
        <v>195</v>
      </c>
      <c r="E279">
        <v>8</v>
      </c>
      <c r="F279">
        <v>0</v>
      </c>
      <c r="G279">
        <v>0</v>
      </c>
      <c r="H279">
        <v>6050</v>
      </c>
      <c r="I279" t="str">
        <f>TEXT(RTN_AND_ALIBAG_MARKET_SALES[[#This Row],[DATE]],"mmm")</f>
        <v>Dec</v>
      </c>
      <c r="J279" t="str">
        <f>TRIM(RTN_AND_ALIBAG_MARKET_SALES[[#This Row],[NICK NAME]])</f>
        <v>SPT</v>
      </c>
    </row>
    <row r="280" spans="1:10" x14ac:dyDescent="0.25">
      <c r="A280">
        <v>279</v>
      </c>
      <c r="B280" s="1">
        <v>45637</v>
      </c>
      <c r="C280" t="s">
        <v>15</v>
      </c>
      <c r="D280" t="s">
        <v>16</v>
      </c>
      <c r="E280">
        <v>43</v>
      </c>
      <c r="F280">
        <v>0</v>
      </c>
      <c r="G280">
        <v>0</v>
      </c>
      <c r="H280">
        <v>69100</v>
      </c>
      <c r="I280" t="str">
        <f>TEXT(RTN_AND_ALIBAG_MARKET_SALES[[#This Row],[DATE]],"mmm")</f>
        <v>Dec</v>
      </c>
      <c r="J280" t="str">
        <f>TRIM(RTN_AND_ALIBAG_MARKET_SALES[[#This Row],[NICK NAME]])</f>
        <v>LF</v>
      </c>
    </row>
    <row r="281" spans="1:10" x14ac:dyDescent="0.25">
      <c r="A281">
        <v>280</v>
      </c>
      <c r="B281" s="1">
        <v>45637</v>
      </c>
      <c r="C281" t="s">
        <v>149</v>
      </c>
      <c r="D281" t="s">
        <v>10</v>
      </c>
      <c r="E281">
        <v>4</v>
      </c>
      <c r="F281">
        <v>0</v>
      </c>
      <c r="G281">
        <v>0</v>
      </c>
      <c r="H281">
        <v>6100</v>
      </c>
      <c r="I281" t="str">
        <f>TEXT(RTN_AND_ALIBAG_MARKET_SALES[[#This Row],[DATE]],"mmm")</f>
        <v>Dec</v>
      </c>
      <c r="J281" t="str">
        <f>TRIM(RTN_AND_ALIBAG_MARKET_SALES[[#This Row],[NICK NAME]])</f>
        <v>TSF</v>
      </c>
    </row>
    <row r="282" spans="1:10" x14ac:dyDescent="0.25">
      <c r="A282">
        <v>281</v>
      </c>
      <c r="B282" s="1">
        <v>45637</v>
      </c>
      <c r="C282" t="s">
        <v>13</v>
      </c>
      <c r="D282" t="s">
        <v>14</v>
      </c>
      <c r="E282">
        <v>40</v>
      </c>
      <c r="F282">
        <v>0</v>
      </c>
      <c r="G282">
        <v>0</v>
      </c>
      <c r="H282">
        <v>68800</v>
      </c>
      <c r="I282" t="str">
        <f>TEXT(RTN_AND_ALIBAG_MARKET_SALES[[#This Row],[DATE]],"mmm")</f>
        <v>Dec</v>
      </c>
      <c r="J282" t="str">
        <f>TRIM(RTN_AND_ALIBAG_MARKET_SALES[[#This Row],[NICK NAME]])</f>
        <v>SHA</v>
      </c>
    </row>
    <row r="283" spans="1:10" x14ac:dyDescent="0.25">
      <c r="A283">
        <v>282</v>
      </c>
      <c r="B283" s="1">
        <v>45637</v>
      </c>
      <c r="C283" t="s">
        <v>197</v>
      </c>
      <c r="D283" t="s">
        <v>153</v>
      </c>
      <c r="E283">
        <v>44</v>
      </c>
      <c r="F283">
        <v>2000</v>
      </c>
      <c r="G283">
        <v>7</v>
      </c>
      <c r="H283">
        <v>71900</v>
      </c>
      <c r="I283" t="str">
        <f>TEXT(RTN_AND_ALIBAG_MARKET_SALES[[#This Row],[DATE]],"mmm")</f>
        <v>Dec</v>
      </c>
      <c r="J283" t="str">
        <f>TRIM(RTN_AND_ALIBAG_MARKET_SALES[[#This Row],[NICK NAME]])</f>
        <v>7 STAR SEA FOOD</v>
      </c>
    </row>
    <row r="284" spans="1:10" x14ac:dyDescent="0.25">
      <c r="A284">
        <v>283</v>
      </c>
      <c r="B284" s="1">
        <v>45640</v>
      </c>
      <c r="C284" t="s">
        <v>198</v>
      </c>
      <c r="D284" t="s">
        <v>138</v>
      </c>
      <c r="E284">
        <v>32</v>
      </c>
      <c r="F284">
        <v>0</v>
      </c>
      <c r="G284">
        <v>0</v>
      </c>
      <c r="H284">
        <v>114400</v>
      </c>
      <c r="I284" t="str">
        <f>TEXT(RTN_AND_ALIBAG_MARKET_SALES[[#This Row],[DATE]],"mmm")</f>
        <v>Dec</v>
      </c>
      <c r="J284" t="str">
        <f>TRIM(RTN_AND_ALIBAG_MARKET_SALES[[#This Row],[NICK NAME]])</f>
        <v>Y-PIN</v>
      </c>
    </row>
    <row r="285" spans="1:10" x14ac:dyDescent="0.25">
      <c r="A285">
        <v>284</v>
      </c>
      <c r="B285" s="1">
        <v>45640</v>
      </c>
      <c r="C285" t="s">
        <v>89</v>
      </c>
      <c r="D285" t="s">
        <v>90</v>
      </c>
      <c r="E285">
        <v>15</v>
      </c>
      <c r="F285">
        <v>0</v>
      </c>
      <c r="G285">
        <v>0</v>
      </c>
      <c r="H285">
        <v>15220</v>
      </c>
      <c r="I285" t="str">
        <f>TEXT(RTN_AND_ALIBAG_MARKET_SALES[[#This Row],[DATE]],"mmm")</f>
        <v>Dec</v>
      </c>
      <c r="J285" t="str">
        <f>TRIM(RTN_AND_ALIBAG_MARKET_SALES[[#This Row],[NICK NAME]])</f>
        <v>TTS</v>
      </c>
    </row>
    <row r="286" spans="1:10" x14ac:dyDescent="0.25">
      <c r="A286">
        <v>285</v>
      </c>
      <c r="B286" s="1">
        <v>45641</v>
      </c>
      <c r="C286" t="s">
        <v>80</v>
      </c>
      <c r="D286" t="s">
        <v>132</v>
      </c>
      <c r="E286">
        <v>81</v>
      </c>
      <c r="F286">
        <v>0</v>
      </c>
      <c r="G286">
        <v>0</v>
      </c>
      <c r="H286">
        <v>241800</v>
      </c>
      <c r="I286" t="str">
        <f>TEXT(RTN_AND_ALIBAG_MARKET_SALES[[#This Row],[DATE]],"mmm")</f>
        <v>Dec</v>
      </c>
      <c r="J286" t="str">
        <f>TRIM(RTN_AND_ALIBAG_MARKET_SALES[[#This Row],[NICK NAME]])</f>
        <v>KNSF</v>
      </c>
    </row>
    <row r="287" spans="1:10" x14ac:dyDescent="0.25">
      <c r="A287">
        <v>286</v>
      </c>
      <c r="B287" s="1">
        <v>45641</v>
      </c>
      <c r="C287" t="s">
        <v>120</v>
      </c>
      <c r="D287" t="s">
        <v>55</v>
      </c>
      <c r="E287">
        <v>10</v>
      </c>
      <c r="F287">
        <v>0</v>
      </c>
      <c r="G287">
        <v>0</v>
      </c>
      <c r="H287">
        <v>33000</v>
      </c>
      <c r="I287" t="str">
        <f>TEXT(RTN_AND_ALIBAG_MARKET_SALES[[#This Row],[DATE]],"mmm")</f>
        <v>Dec</v>
      </c>
      <c r="J287" t="str">
        <f>TRIM(RTN_AND_ALIBAG_MARKET_SALES[[#This Row],[NICK NAME]])</f>
        <v>EBF</v>
      </c>
    </row>
    <row r="288" spans="1:10" x14ac:dyDescent="0.25">
      <c r="A288">
        <v>287</v>
      </c>
      <c r="B288" s="1">
        <v>45642</v>
      </c>
      <c r="C288" t="s">
        <v>197</v>
      </c>
      <c r="D288" t="s">
        <v>158</v>
      </c>
      <c r="E288">
        <v>54</v>
      </c>
      <c r="F288">
        <v>2000</v>
      </c>
      <c r="G288">
        <v>9</v>
      </c>
      <c r="H288">
        <v>100240</v>
      </c>
      <c r="I288" t="str">
        <f>TEXT(RTN_AND_ALIBAG_MARKET_SALES[[#This Row],[DATE]],"mmm")</f>
        <v>Dec</v>
      </c>
      <c r="J288" t="str">
        <f>TRIM(RTN_AND_ALIBAG_MARKET_SALES[[#This Row],[NICK NAME]])</f>
        <v>GFR</v>
      </c>
    </row>
    <row r="289" spans="1:10" x14ac:dyDescent="0.25">
      <c r="A289">
        <v>288</v>
      </c>
      <c r="B289" s="1">
        <v>45643</v>
      </c>
      <c r="C289" t="s">
        <v>23</v>
      </c>
      <c r="D289" t="s">
        <v>24</v>
      </c>
      <c r="E289">
        <v>61</v>
      </c>
      <c r="F289">
        <v>0</v>
      </c>
      <c r="G289">
        <v>0</v>
      </c>
      <c r="H289">
        <v>139900</v>
      </c>
      <c r="I289" t="str">
        <f>TEXT(RTN_AND_ALIBAG_MARKET_SALES[[#This Row],[DATE]],"mmm")</f>
        <v>Dec</v>
      </c>
      <c r="J289" t="str">
        <f>TRIM(RTN_AND_ALIBAG_MARKET_SALES[[#This Row],[NICK NAME]])</f>
        <v>CHS</v>
      </c>
    </row>
    <row r="290" spans="1:10" x14ac:dyDescent="0.25">
      <c r="A290">
        <v>289</v>
      </c>
      <c r="B290" s="1">
        <v>45643</v>
      </c>
      <c r="C290" t="s">
        <v>25</v>
      </c>
      <c r="D290" t="s">
        <v>12</v>
      </c>
      <c r="E290">
        <v>60</v>
      </c>
      <c r="F290">
        <v>0</v>
      </c>
      <c r="G290">
        <v>0</v>
      </c>
      <c r="H290">
        <v>115000</v>
      </c>
      <c r="I290" t="str">
        <f>TEXT(RTN_AND_ALIBAG_MARKET_SALES[[#This Row],[DATE]],"mmm")</f>
        <v>Dec</v>
      </c>
      <c r="J290" t="str">
        <f>TRIM(RTN_AND_ALIBAG_MARKET_SALES[[#This Row],[NICK NAME]])</f>
        <v>TWK</v>
      </c>
    </row>
    <row r="291" spans="1:10" x14ac:dyDescent="0.25">
      <c r="A291">
        <v>290</v>
      </c>
      <c r="B291" s="1">
        <v>45644</v>
      </c>
      <c r="C291" t="s">
        <v>23</v>
      </c>
      <c r="D291" t="s">
        <v>24</v>
      </c>
      <c r="E291">
        <v>4</v>
      </c>
      <c r="F291">
        <v>0</v>
      </c>
      <c r="G291">
        <v>0</v>
      </c>
      <c r="H291">
        <v>6700</v>
      </c>
      <c r="I291" t="str">
        <f>TEXT(RTN_AND_ALIBAG_MARKET_SALES[[#This Row],[DATE]],"mmm")</f>
        <v>Dec</v>
      </c>
      <c r="J291" t="str">
        <f>TRIM(RTN_AND_ALIBAG_MARKET_SALES[[#This Row],[NICK NAME]])</f>
        <v>CHS</v>
      </c>
    </row>
    <row r="292" spans="1:10" x14ac:dyDescent="0.25">
      <c r="A292">
        <v>291</v>
      </c>
      <c r="B292" s="1">
        <v>45644</v>
      </c>
      <c r="C292" t="s">
        <v>26</v>
      </c>
      <c r="D292" t="s">
        <v>27</v>
      </c>
      <c r="E292">
        <v>6</v>
      </c>
      <c r="F292">
        <v>0</v>
      </c>
      <c r="G292">
        <v>0</v>
      </c>
      <c r="H292">
        <v>10000</v>
      </c>
      <c r="I292" t="str">
        <f>TEXT(RTN_AND_ALIBAG_MARKET_SALES[[#This Row],[DATE]],"mmm")</f>
        <v>Dec</v>
      </c>
      <c r="J292" t="str">
        <f>TRIM(RTN_AND_ALIBAG_MARKET_SALES[[#This Row],[NICK NAME]])</f>
        <v>KNH</v>
      </c>
    </row>
    <row r="293" spans="1:10" x14ac:dyDescent="0.25">
      <c r="A293">
        <v>292</v>
      </c>
      <c r="B293" s="1">
        <v>45644</v>
      </c>
      <c r="C293" t="s">
        <v>28</v>
      </c>
      <c r="D293" t="s">
        <v>29</v>
      </c>
      <c r="E293">
        <v>48</v>
      </c>
      <c r="F293">
        <v>0</v>
      </c>
      <c r="G293">
        <v>0</v>
      </c>
      <c r="H293">
        <v>88400</v>
      </c>
      <c r="I293" t="str">
        <f>TEXT(RTN_AND_ALIBAG_MARKET_SALES[[#This Row],[DATE]],"mmm")</f>
        <v>Dec</v>
      </c>
      <c r="J293" t="str">
        <f>TRIM(RTN_AND_ALIBAG_MARKET_SALES[[#This Row],[NICK NAME]])</f>
        <v>KK</v>
      </c>
    </row>
    <row r="294" spans="1:10" x14ac:dyDescent="0.25">
      <c r="A294">
        <v>293</v>
      </c>
      <c r="B294" s="1">
        <v>45644</v>
      </c>
      <c r="C294" t="s">
        <v>30</v>
      </c>
      <c r="D294" t="s">
        <v>31</v>
      </c>
      <c r="E294">
        <v>16</v>
      </c>
      <c r="F294">
        <v>5000</v>
      </c>
      <c r="G294">
        <v>36</v>
      </c>
      <c r="H294">
        <v>27800</v>
      </c>
      <c r="I294" t="str">
        <f>TEXT(RTN_AND_ALIBAG_MARKET_SALES[[#This Row],[DATE]],"mmm")</f>
        <v>Dec</v>
      </c>
      <c r="J294" t="str">
        <f>TRIM(RTN_AND_ALIBAG_MARKET_SALES[[#This Row],[NICK NAME]])</f>
        <v>EPN</v>
      </c>
    </row>
    <row r="295" spans="1:10" x14ac:dyDescent="0.25">
      <c r="A295">
        <v>294</v>
      </c>
      <c r="B295" s="1">
        <v>45644</v>
      </c>
      <c r="C295" t="s">
        <v>32</v>
      </c>
      <c r="D295" t="s">
        <v>29</v>
      </c>
      <c r="E295">
        <v>1</v>
      </c>
      <c r="F295">
        <v>0</v>
      </c>
      <c r="G295">
        <v>0</v>
      </c>
      <c r="H295">
        <v>2000</v>
      </c>
      <c r="I295" t="str">
        <f>TEXT(RTN_AND_ALIBAG_MARKET_SALES[[#This Row],[DATE]],"mmm")</f>
        <v>Dec</v>
      </c>
      <c r="J295" t="str">
        <f>TRIM(RTN_AND_ALIBAG_MARKET_SALES[[#This Row],[NICK NAME]])</f>
        <v>KK</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D26D4-2200-4F2D-8E62-22E1B4C9C3CA}">
  <dimension ref="A3:E25"/>
  <sheetViews>
    <sheetView topLeftCell="A10" workbookViewId="0">
      <selection activeCell="G21" sqref="G21"/>
    </sheetView>
  </sheetViews>
  <sheetFormatPr defaultRowHeight="15" x14ac:dyDescent="0.25"/>
  <cols>
    <col min="1" max="2" width="16.28515625" bestFit="1" customWidth="1"/>
    <col min="3" max="3" width="12.140625" bestFit="1" customWidth="1"/>
    <col min="4" max="4" width="11.42578125" bestFit="1" customWidth="1"/>
  </cols>
  <sheetData>
    <row r="3" spans="1:5" x14ac:dyDescent="0.25">
      <c r="A3" s="2" t="s">
        <v>229</v>
      </c>
      <c r="B3" t="s">
        <v>243</v>
      </c>
      <c r="C3" t="s">
        <v>244</v>
      </c>
      <c r="D3" t="s">
        <v>245</v>
      </c>
    </row>
    <row r="4" spans="1:5" x14ac:dyDescent="0.25">
      <c r="A4" s="3" t="s">
        <v>236</v>
      </c>
      <c r="B4">
        <v>3355225</v>
      </c>
      <c r="C4">
        <v>1257280</v>
      </c>
      <c r="D4">
        <v>44000</v>
      </c>
    </row>
    <row r="5" spans="1:5" x14ac:dyDescent="0.25">
      <c r="A5" s="3" t="s">
        <v>237</v>
      </c>
      <c r="B5">
        <v>2908750</v>
      </c>
      <c r="C5">
        <v>768770</v>
      </c>
      <c r="D5">
        <v>28000</v>
      </c>
    </row>
    <row r="6" spans="1:5" x14ac:dyDescent="0.25">
      <c r="A6" s="3" t="s">
        <v>238</v>
      </c>
      <c r="B6">
        <v>3668183</v>
      </c>
      <c r="C6">
        <v>1724709</v>
      </c>
      <c r="D6">
        <v>60000</v>
      </c>
    </row>
    <row r="7" spans="1:5" x14ac:dyDescent="0.25">
      <c r="A7" s="3" t="s">
        <v>239</v>
      </c>
      <c r="B7">
        <v>2668619</v>
      </c>
      <c r="C7">
        <v>925106</v>
      </c>
      <c r="D7">
        <v>32000</v>
      </c>
    </row>
    <row r="8" spans="1:5" x14ac:dyDescent="0.25">
      <c r="A8" s="3" t="s">
        <v>230</v>
      </c>
      <c r="B8">
        <v>12600777</v>
      </c>
      <c r="C8">
        <v>4675865</v>
      </c>
      <c r="D8">
        <v>164000</v>
      </c>
    </row>
    <row r="14" spans="1:5" x14ac:dyDescent="0.25">
      <c r="A14" s="2" t="s">
        <v>229</v>
      </c>
      <c r="B14" t="s">
        <v>247</v>
      </c>
    </row>
    <row r="15" spans="1:5" x14ac:dyDescent="0.25">
      <c r="A15" s="3" t="s">
        <v>252</v>
      </c>
      <c r="B15">
        <v>7</v>
      </c>
    </row>
    <row r="16" spans="1:5" x14ac:dyDescent="0.25">
      <c r="A16" s="3" t="s">
        <v>251</v>
      </c>
      <c r="B16">
        <v>7</v>
      </c>
      <c r="E16">
        <f>COUNT(TRIPS[TRIP NO])</f>
        <v>41</v>
      </c>
    </row>
    <row r="17" spans="1:2" x14ac:dyDescent="0.25">
      <c r="A17" s="3" t="s">
        <v>249</v>
      </c>
      <c r="B17">
        <v>6</v>
      </c>
    </row>
    <row r="18" spans="1:2" x14ac:dyDescent="0.25">
      <c r="A18" s="3" t="s">
        <v>248</v>
      </c>
      <c r="B18">
        <v>4</v>
      </c>
    </row>
    <row r="19" spans="1:2" x14ac:dyDescent="0.25">
      <c r="A19" s="3" t="s">
        <v>250</v>
      </c>
      <c r="B19">
        <v>4</v>
      </c>
    </row>
    <row r="20" spans="1:2" x14ac:dyDescent="0.25">
      <c r="A20" s="3" t="s">
        <v>230</v>
      </c>
      <c r="B20">
        <v>28</v>
      </c>
    </row>
    <row r="24" spans="1:2" x14ac:dyDescent="0.25">
      <c r="A24" t="s">
        <v>247</v>
      </c>
    </row>
    <row r="25" spans="1:2" x14ac:dyDescent="0.25">
      <c r="A25">
        <v>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4CC47-3ADB-4A75-86CD-932AF33DAEEB}">
  <sheetPr codeName="Sheet87"/>
  <dimension ref="A1:L42"/>
  <sheetViews>
    <sheetView topLeftCell="B1" workbookViewId="0">
      <selection activeCell="L3" sqref="L3"/>
    </sheetView>
  </sheetViews>
  <sheetFormatPr defaultRowHeight="15" x14ac:dyDescent="0.25"/>
  <cols>
    <col min="2" max="3" width="13.5703125" bestFit="1" customWidth="1"/>
    <col min="4" max="4" width="10.42578125" bestFit="1" customWidth="1"/>
    <col min="5" max="5" width="13" bestFit="1" customWidth="1"/>
    <col min="6" max="6" width="23.85546875" bestFit="1" customWidth="1"/>
    <col min="7" max="7" width="12.7109375" bestFit="1" customWidth="1"/>
    <col min="8" max="8" width="7.85546875" bestFit="1" customWidth="1"/>
    <col min="9" max="9" width="7.140625" bestFit="1" customWidth="1"/>
    <col min="10" max="10" width="8.28515625" bestFit="1" customWidth="1"/>
    <col min="11" max="11" width="13.140625" bestFit="1" customWidth="1"/>
  </cols>
  <sheetData>
    <row r="1" spans="1:12" x14ac:dyDescent="0.25">
      <c r="A1" t="s">
        <v>234</v>
      </c>
      <c r="B1" t="s">
        <v>199</v>
      </c>
      <c r="C1" t="s">
        <v>200</v>
      </c>
      <c r="D1" t="s">
        <v>201</v>
      </c>
      <c r="E1" t="s">
        <v>202</v>
      </c>
      <c r="F1" t="s">
        <v>203</v>
      </c>
      <c r="G1" t="s">
        <v>204</v>
      </c>
      <c r="H1" t="s">
        <v>205</v>
      </c>
      <c r="I1" t="s">
        <v>206</v>
      </c>
      <c r="J1" t="s">
        <v>207</v>
      </c>
      <c r="K1" t="s">
        <v>246</v>
      </c>
      <c r="L1" t="s">
        <v>232</v>
      </c>
    </row>
    <row r="2" spans="1:12" x14ac:dyDescent="0.25">
      <c r="A2">
        <v>1</v>
      </c>
      <c r="B2">
        <v>201</v>
      </c>
      <c r="C2" t="s">
        <v>213</v>
      </c>
      <c r="D2" s="1">
        <v>45545</v>
      </c>
      <c r="E2">
        <v>1</v>
      </c>
      <c r="F2">
        <v>240</v>
      </c>
      <c r="G2" t="s">
        <v>209</v>
      </c>
      <c r="H2">
        <v>411300</v>
      </c>
      <c r="I2">
        <v>124500</v>
      </c>
      <c r="J2">
        <v>4000</v>
      </c>
      <c r="K2" t="str">
        <f>RIGHT(TRIPS[[#This Row],[LORRY NO]],4)</f>
        <v>5293</v>
      </c>
      <c r="L2" t="str">
        <f>TEXT(TRIPS[[#This Row],[TP DATE]],"mmm")</f>
        <v>Sep</v>
      </c>
    </row>
    <row r="3" spans="1:12" x14ac:dyDescent="0.25">
      <c r="A3">
        <v>2</v>
      </c>
      <c r="B3">
        <v>202</v>
      </c>
      <c r="C3" t="s">
        <v>214</v>
      </c>
      <c r="D3" s="1">
        <v>45546</v>
      </c>
      <c r="E3">
        <v>2</v>
      </c>
      <c r="F3">
        <v>200</v>
      </c>
      <c r="G3" t="s">
        <v>209</v>
      </c>
      <c r="H3">
        <v>359400</v>
      </c>
      <c r="I3">
        <v>99600</v>
      </c>
      <c r="J3">
        <v>4000</v>
      </c>
      <c r="K3" t="str">
        <f>RIGHT(TRIPS[[#This Row],[LORRY NO]],4)</f>
        <v>0724</v>
      </c>
      <c r="L3" t="str">
        <f>TEXT(TRIPS[[#This Row],[TP DATE]],"mmm")</f>
        <v>Sep</v>
      </c>
    </row>
    <row r="4" spans="1:12" x14ac:dyDescent="0.25">
      <c r="A4">
        <v>3</v>
      </c>
      <c r="B4">
        <v>101</v>
      </c>
      <c r="C4" t="s">
        <v>217</v>
      </c>
      <c r="D4" s="1">
        <v>45551</v>
      </c>
      <c r="E4">
        <v>1</v>
      </c>
      <c r="F4">
        <v>204</v>
      </c>
      <c r="G4" t="s">
        <v>209</v>
      </c>
      <c r="H4">
        <v>264515</v>
      </c>
      <c r="I4">
        <v>126950</v>
      </c>
      <c r="J4">
        <v>4000</v>
      </c>
      <c r="K4" t="str">
        <f>RIGHT(TRIPS[[#This Row],[LORRY NO]],4)</f>
        <v>6393</v>
      </c>
      <c r="L4" t="str">
        <f>TEXT(TRIPS[[#This Row],[TP DATE]],"mmm")</f>
        <v>Sep</v>
      </c>
    </row>
    <row r="5" spans="1:12" x14ac:dyDescent="0.25">
      <c r="A5">
        <v>4</v>
      </c>
      <c r="B5">
        <v>203</v>
      </c>
      <c r="C5" t="s">
        <v>225</v>
      </c>
      <c r="D5" s="1">
        <v>45551</v>
      </c>
      <c r="E5">
        <v>3</v>
      </c>
      <c r="F5">
        <v>200</v>
      </c>
      <c r="G5" t="s">
        <v>209</v>
      </c>
      <c r="H5">
        <v>306170</v>
      </c>
      <c r="I5">
        <v>117400</v>
      </c>
      <c r="J5">
        <v>4000</v>
      </c>
      <c r="K5" t="str">
        <f>RIGHT(TRIPS[[#This Row],[LORRY NO]],4)</f>
        <v>1066</v>
      </c>
      <c r="L5" t="str">
        <f>TEXT(TRIPS[[#This Row],[TP DATE]],"mmm")</f>
        <v>Sep</v>
      </c>
    </row>
    <row r="6" spans="1:12" x14ac:dyDescent="0.25">
      <c r="A6">
        <v>5</v>
      </c>
      <c r="B6">
        <v>204</v>
      </c>
      <c r="C6" t="s">
        <v>211</v>
      </c>
      <c r="D6" s="1">
        <v>45553</v>
      </c>
      <c r="E6">
        <v>4</v>
      </c>
      <c r="F6">
        <v>198</v>
      </c>
      <c r="G6" t="s">
        <v>209</v>
      </c>
      <c r="H6">
        <v>205170</v>
      </c>
      <c r="I6">
        <v>119450</v>
      </c>
      <c r="J6">
        <v>4000</v>
      </c>
      <c r="K6" t="str">
        <f>RIGHT(TRIPS[[#This Row],[LORRY NO]],4)</f>
        <v>5295</v>
      </c>
      <c r="L6" t="str">
        <f>TEXT(TRIPS[[#This Row],[TP DATE]],"mmm")</f>
        <v>Sep</v>
      </c>
    </row>
    <row r="7" spans="1:12" x14ac:dyDescent="0.25">
      <c r="A7">
        <v>6</v>
      </c>
      <c r="B7">
        <v>205</v>
      </c>
      <c r="C7" t="s">
        <v>213</v>
      </c>
      <c r="D7" s="1">
        <v>45555</v>
      </c>
      <c r="E7">
        <v>5</v>
      </c>
      <c r="F7">
        <v>210</v>
      </c>
      <c r="G7" t="s">
        <v>209</v>
      </c>
      <c r="H7">
        <v>276000</v>
      </c>
      <c r="I7">
        <v>124500</v>
      </c>
      <c r="J7">
        <v>4000</v>
      </c>
      <c r="K7" t="str">
        <f>RIGHT(TRIPS[[#This Row],[LORRY NO]],4)</f>
        <v>5293</v>
      </c>
      <c r="L7" t="str">
        <f>TEXT(TRIPS[[#This Row],[TP DATE]],"mmm")</f>
        <v>Sep</v>
      </c>
    </row>
    <row r="8" spans="1:12" x14ac:dyDescent="0.25">
      <c r="A8">
        <v>7</v>
      </c>
      <c r="B8">
        <v>206</v>
      </c>
      <c r="C8" t="s">
        <v>215</v>
      </c>
      <c r="D8" s="1">
        <v>45557</v>
      </c>
      <c r="E8">
        <v>6</v>
      </c>
      <c r="F8">
        <v>200</v>
      </c>
      <c r="G8" t="s">
        <v>209</v>
      </c>
      <c r="H8">
        <v>233400</v>
      </c>
      <c r="I8">
        <v>92780</v>
      </c>
      <c r="J8">
        <v>4000</v>
      </c>
      <c r="K8" t="str">
        <f>RIGHT(TRIPS[[#This Row],[LORRY NO]],4)</f>
        <v>1055</v>
      </c>
      <c r="L8" t="str">
        <f>TEXT(TRIPS[[#This Row],[TP DATE]],"mmm")</f>
        <v>Sep</v>
      </c>
    </row>
    <row r="9" spans="1:12" x14ac:dyDescent="0.25">
      <c r="A9">
        <v>8</v>
      </c>
      <c r="B9">
        <v>207</v>
      </c>
      <c r="C9" t="s">
        <v>216</v>
      </c>
      <c r="D9" s="1">
        <v>45558</v>
      </c>
      <c r="E9">
        <v>7</v>
      </c>
      <c r="F9">
        <v>197</v>
      </c>
      <c r="G9" t="s">
        <v>209</v>
      </c>
      <c r="H9">
        <v>322970</v>
      </c>
      <c r="I9">
        <v>105600</v>
      </c>
      <c r="J9">
        <v>4000</v>
      </c>
      <c r="K9" t="str">
        <f>RIGHT(TRIPS[[#This Row],[LORRY NO]],4)</f>
        <v>0723</v>
      </c>
      <c r="L9" t="str">
        <f>TEXT(TRIPS[[#This Row],[TP DATE]],"mmm")</f>
        <v>Sep</v>
      </c>
    </row>
    <row r="10" spans="1:12" x14ac:dyDescent="0.25">
      <c r="A10">
        <v>9</v>
      </c>
      <c r="B10">
        <v>208</v>
      </c>
      <c r="C10" t="s">
        <v>217</v>
      </c>
      <c r="D10" s="1">
        <v>45559</v>
      </c>
      <c r="E10">
        <v>8</v>
      </c>
      <c r="F10">
        <v>228</v>
      </c>
      <c r="G10" t="s">
        <v>209</v>
      </c>
      <c r="H10">
        <v>464300</v>
      </c>
      <c r="I10">
        <v>121800</v>
      </c>
      <c r="J10">
        <v>4000</v>
      </c>
      <c r="K10" t="str">
        <f>RIGHT(TRIPS[[#This Row],[LORRY NO]],4)</f>
        <v>6393</v>
      </c>
      <c r="L10" t="str">
        <f>TEXT(TRIPS[[#This Row],[TP DATE]],"mmm")</f>
        <v>Sep</v>
      </c>
    </row>
    <row r="11" spans="1:12" x14ac:dyDescent="0.25">
      <c r="A11">
        <v>10</v>
      </c>
      <c r="B11">
        <v>209</v>
      </c>
      <c r="C11" t="s">
        <v>218</v>
      </c>
      <c r="D11" s="1">
        <v>45564</v>
      </c>
      <c r="E11">
        <v>9</v>
      </c>
      <c r="F11">
        <v>198</v>
      </c>
      <c r="G11" t="s">
        <v>209</v>
      </c>
      <c r="H11">
        <v>204200</v>
      </c>
      <c r="I11">
        <v>111300</v>
      </c>
      <c r="J11">
        <v>4000</v>
      </c>
      <c r="K11" t="str">
        <f>RIGHT(TRIPS[[#This Row],[LORRY NO]],4)</f>
        <v>8828</v>
      </c>
      <c r="L11" t="str">
        <f>TEXT(TRIPS[[#This Row],[TP DATE]],"mmm")</f>
        <v>Sep</v>
      </c>
    </row>
    <row r="12" spans="1:12" x14ac:dyDescent="0.25">
      <c r="A12">
        <v>11</v>
      </c>
      <c r="B12">
        <v>210</v>
      </c>
      <c r="C12" t="s">
        <v>213</v>
      </c>
      <c r="D12" s="1">
        <v>45565</v>
      </c>
      <c r="E12">
        <v>10</v>
      </c>
      <c r="F12">
        <v>230</v>
      </c>
      <c r="G12" t="s">
        <v>209</v>
      </c>
      <c r="H12">
        <v>307800</v>
      </c>
      <c r="I12">
        <v>113400</v>
      </c>
      <c r="J12">
        <v>4000</v>
      </c>
      <c r="K12" t="str">
        <f>RIGHT(TRIPS[[#This Row],[LORRY NO]],4)</f>
        <v>5293</v>
      </c>
      <c r="L12" t="str">
        <f>TEXT(TRIPS[[#This Row],[TP DATE]],"mmm")</f>
        <v>Sep</v>
      </c>
    </row>
    <row r="13" spans="1:12" x14ac:dyDescent="0.25">
      <c r="A13">
        <v>12</v>
      </c>
      <c r="B13">
        <v>211</v>
      </c>
      <c r="C13" t="s">
        <v>225</v>
      </c>
      <c r="D13" s="1">
        <v>45568</v>
      </c>
      <c r="E13">
        <v>11</v>
      </c>
      <c r="F13">
        <v>200</v>
      </c>
      <c r="G13" t="s">
        <v>209</v>
      </c>
      <c r="H13">
        <v>296400</v>
      </c>
      <c r="I13">
        <v>109200</v>
      </c>
      <c r="J13">
        <v>4000</v>
      </c>
      <c r="K13" t="str">
        <f>RIGHT(TRIPS[[#This Row],[LORRY NO]],4)</f>
        <v>1066</v>
      </c>
      <c r="L13" t="str">
        <f>TEXT(TRIPS[[#This Row],[TP DATE]],"mmm")</f>
        <v>Oct</v>
      </c>
    </row>
    <row r="14" spans="1:12" x14ac:dyDescent="0.25">
      <c r="A14">
        <v>13</v>
      </c>
      <c r="B14">
        <v>212</v>
      </c>
      <c r="C14" t="s">
        <v>215</v>
      </c>
      <c r="D14" s="1">
        <v>45569</v>
      </c>
      <c r="E14">
        <v>12</v>
      </c>
      <c r="F14">
        <v>200</v>
      </c>
      <c r="G14" t="s">
        <v>209</v>
      </c>
      <c r="H14">
        <v>219300</v>
      </c>
      <c r="I14">
        <v>113400</v>
      </c>
      <c r="J14">
        <v>4000</v>
      </c>
      <c r="K14" t="str">
        <f>RIGHT(TRIPS[[#This Row],[LORRY NO]],4)</f>
        <v>1055</v>
      </c>
      <c r="L14" t="str">
        <f>TEXT(TRIPS[[#This Row],[TP DATE]],"mmm")</f>
        <v>Oct</v>
      </c>
    </row>
    <row r="15" spans="1:12" x14ac:dyDescent="0.25">
      <c r="A15">
        <v>14</v>
      </c>
      <c r="B15">
        <v>213</v>
      </c>
      <c r="C15" t="s">
        <v>219</v>
      </c>
      <c r="D15" s="1">
        <v>45575</v>
      </c>
      <c r="E15">
        <v>13</v>
      </c>
      <c r="F15">
        <v>206</v>
      </c>
      <c r="G15" t="s">
        <v>209</v>
      </c>
      <c r="H15">
        <v>724450</v>
      </c>
      <c r="I15">
        <v>105000</v>
      </c>
      <c r="J15">
        <v>4000</v>
      </c>
      <c r="K15" t="str">
        <f>RIGHT(TRIPS[[#This Row],[LORRY NO]],4)</f>
        <v>5295</v>
      </c>
      <c r="L15" t="str">
        <f>TEXT(TRIPS[[#This Row],[TP DATE]],"mmm")</f>
        <v>Oct</v>
      </c>
    </row>
    <row r="16" spans="1:12" x14ac:dyDescent="0.25">
      <c r="A16">
        <v>15</v>
      </c>
      <c r="B16">
        <v>214</v>
      </c>
      <c r="C16" t="s">
        <v>220</v>
      </c>
      <c r="D16" s="1">
        <v>45579</v>
      </c>
      <c r="E16">
        <v>14</v>
      </c>
      <c r="F16">
        <v>200</v>
      </c>
      <c r="G16" t="s">
        <v>209</v>
      </c>
      <c r="H16">
        <v>294400</v>
      </c>
      <c r="I16">
        <v>109200</v>
      </c>
      <c r="J16">
        <v>4000</v>
      </c>
      <c r="K16" t="str">
        <f>RIGHT(TRIPS[[#This Row],[LORRY NO]],4)</f>
        <v>5382</v>
      </c>
      <c r="L16" t="str">
        <f>TEXT(TRIPS[[#This Row],[TP DATE]],"mmm")</f>
        <v>Oct</v>
      </c>
    </row>
    <row r="17" spans="1:12" x14ac:dyDescent="0.25">
      <c r="A17">
        <v>16</v>
      </c>
      <c r="B17">
        <v>215</v>
      </c>
      <c r="C17" t="s">
        <v>221</v>
      </c>
      <c r="D17" s="1">
        <v>45583</v>
      </c>
      <c r="E17">
        <v>15</v>
      </c>
      <c r="F17">
        <v>200</v>
      </c>
      <c r="G17" t="s">
        <v>209</v>
      </c>
      <c r="H17">
        <v>493800</v>
      </c>
      <c r="I17">
        <v>113570</v>
      </c>
      <c r="J17">
        <v>4000</v>
      </c>
      <c r="K17" t="str">
        <f>RIGHT(TRIPS[[#This Row],[LORRY NO]],4)</f>
        <v>1055</v>
      </c>
      <c r="L17" t="str">
        <f>TEXT(TRIPS[[#This Row],[TP DATE]],"mmm")</f>
        <v>Oct</v>
      </c>
    </row>
    <row r="18" spans="1:12" x14ac:dyDescent="0.25">
      <c r="A18">
        <v>17</v>
      </c>
      <c r="B18">
        <v>216</v>
      </c>
      <c r="C18" t="s">
        <v>208</v>
      </c>
      <c r="D18" s="1">
        <v>45587</v>
      </c>
      <c r="E18">
        <v>16</v>
      </c>
      <c r="F18">
        <v>227</v>
      </c>
      <c r="G18" t="s">
        <v>209</v>
      </c>
      <c r="H18">
        <v>437200</v>
      </c>
      <c r="I18">
        <v>109200</v>
      </c>
      <c r="J18">
        <v>4000</v>
      </c>
      <c r="K18" t="str">
        <f>RIGHT(TRIPS[[#This Row],[LORRY NO]],4)</f>
        <v>6393</v>
      </c>
      <c r="L18" t="str">
        <f>TEXT(TRIPS[[#This Row],[TP DATE]],"mmm")</f>
        <v>Oct</v>
      </c>
    </row>
    <row r="19" spans="1:12" x14ac:dyDescent="0.25">
      <c r="A19">
        <v>18</v>
      </c>
      <c r="B19">
        <v>218</v>
      </c>
      <c r="C19" t="s">
        <v>222</v>
      </c>
      <c r="D19" s="1">
        <v>45595</v>
      </c>
      <c r="E19">
        <v>18</v>
      </c>
      <c r="F19">
        <v>200</v>
      </c>
      <c r="G19" t="s">
        <v>209</v>
      </c>
      <c r="H19">
        <v>443200</v>
      </c>
      <c r="I19">
        <v>109200</v>
      </c>
      <c r="J19">
        <v>4000</v>
      </c>
      <c r="K19" t="str">
        <f>RIGHT(TRIPS[[#This Row],[LORRY NO]],4)</f>
        <v>0723</v>
      </c>
      <c r="L19" t="str">
        <f>TEXT(TRIPS[[#This Row],[TP DATE]],"mmm")</f>
        <v>Oct</v>
      </c>
    </row>
    <row r="20" spans="1:12" x14ac:dyDescent="0.25">
      <c r="A20">
        <v>19</v>
      </c>
      <c r="B20">
        <v>103</v>
      </c>
      <c r="C20" t="s">
        <v>208</v>
      </c>
      <c r="D20" s="1">
        <v>45598</v>
      </c>
      <c r="E20">
        <v>3</v>
      </c>
      <c r="F20">
        <v>200</v>
      </c>
      <c r="G20" t="s">
        <v>210</v>
      </c>
      <c r="H20">
        <v>309888</v>
      </c>
      <c r="I20">
        <v>148722</v>
      </c>
      <c r="J20">
        <v>4000</v>
      </c>
      <c r="K20" t="str">
        <f>RIGHT(TRIPS[[#This Row],[LORRY NO]],4)</f>
        <v>6393</v>
      </c>
      <c r="L20" t="str">
        <f>TEXT(TRIPS[[#This Row],[TP DATE]],"mmm")</f>
        <v>Nov</v>
      </c>
    </row>
    <row r="21" spans="1:12" x14ac:dyDescent="0.25">
      <c r="A21">
        <v>20</v>
      </c>
      <c r="B21">
        <v>219</v>
      </c>
      <c r="C21" t="s">
        <v>223</v>
      </c>
      <c r="D21" s="1">
        <v>45602</v>
      </c>
      <c r="E21">
        <v>19</v>
      </c>
      <c r="F21">
        <v>209</v>
      </c>
      <c r="G21" t="s">
        <v>209</v>
      </c>
      <c r="H21">
        <v>320370</v>
      </c>
      <c r="I21">
        <v>109200</v>
      </c>
      <c r="J21">
        <v>4000</v>
      </c>
      <c r="K21" t="str">
        <f>RIGHT(TRIPS[[#This Row],[LORRY NO]],4)</f>
        <v>5293</v>
      </c>
      <c r="L21" t="str">
        <f>TEXT(TRIPS[[#This Row],[TP DATE]],"mmm")</f>
        <v>Nov</v>
      </c>
    </row>
    <row r="22" spans="1:12" x14ac:dyDescent="0.25">
      <c r="A22">
        <v>21</v>
      </c>
      <c r="B22">
        <v>220</v>
      </c>
      <c r="C22" t="s">
        <v>221</v>
      </c>
      <c r="D22" s="1">
        <v>45604</v>
      </c>
      <c r="E22">
        <v>20</v>
      </c>
      <c r="F22">
        <v>171</v>
      </c>
      <c r="G22" t="s">
        <v>209</v>
      </c>
      <c r="H22">
        <v>268200</v>
      </c>
      <c r="I22">
        <v>102771</v>
      </c>
      <c r="J22">
        <v>4000</v>
      </c>
      <c r="K22" t="str">
        <f>RIGHT(TRIPS[[#This Row],[LORRY NO]],4)</f>
        <v>1055</v>
      </c>
      <c r="L22" t="str">
        <f>TEXT(TRIPS[[#This Row],[TP DATE]],"mmm")</f>
        <v>Nov</v>
      </c>
    </row>
    <row r="23" spans="1:12" x14ac:dyDescent="0.25">
      <c r="A23">
        <v>22</v>
      </c>
      <c r="B23">
        <v>221</v>
      </c>
      <c r="C23" t="s">
        <v>225</v>
      </c>
      <c r="D23" s="1">
        <v>45605</v>
      </c>
      <c r="E23">
        <v>21</v>
      </c>
      <c r="F23">
        <v>198</v>
      </c>
      <c r="G23" t="s">
        <v>209</v>
      </c>
      <c r="H23">
        <v>279600</v>
      </c>
      <c r="I23">
        <v>117810</v>
      </c>
      <c r="J23">
        <v>4000</v>
      </c>
      <c r="K23" t="str">
        <f>RIGHT(TRIPS[[#This Row],[LORRY NO]],4)</f>
        <v>1066</v>
      </c>
      <c r="L23" t="str">
        <f>TEXT(TRIPS[[#This Row],[TP DATE]],"mmm")</f>
        <v>Nov</v>
      </c>
    </row>
    <row r="24" spans="1:12" x14ac:dyDescent="0.25">
      <c r="A24">
        <v>23</v>
      </c>
      <c r="B24">
        <v>222</v>
      </c>
      <c r="C24" t="s">
        <v>224</v>
      </c>
      <c r="D24" s="1">
        <v>45608</v>
      </c>
      <c r="E24">
        <v>22</v>
      </c>
      <c r="F24">
        <v>200</v>
      </c>
      <c r="G24" t="s">
        <v>209</v>
      </c>
      <c r="H24">
        <v>363400</v>
      </c>
      <c r="I24">
        <v>117978</v>
      </c>
      <c r="J24">
        <v>4000</v>
      </c>
      <c r="K24" t="str">
        <f>RIGHT(TRIPS[[#This Row],[LORRY NO]],4)</f>
        <v>7130</v>
      </c>
      <c r="L24" t="str">
        <f>TEXT(TRIPS[[#This Row],[TP DATE]],"mmm")</f>
        <v>Nov</v>
      </c>
    </row>
    <row r="25" spans="1:12" x14ac:dyDescent="0.25">
      <c r="A25">
        <v>24</v>
      </c>
      <c r="B25">
        <v>223</v>
      </c>
      <c r="C25" t="s">
        <v>222</v>
      </c>
      <c r="D25" s="1">
        <v>45610</v>
      </c>
      <c r="E25">
        <v>23</v>
      </c>
      <c r="F25">
        <v>199</v>
      </c>
      <c r="G25" t="s">
        <v>209</v>
      </c>
      <c r="H25">
        <v>274350</v>
      </c>
      <c r="I25">
        <v>123000</v>
      </c>
      <c r="J25">
        <v>4000</v>
      </c>
      <c r="K25" t="str">
        <f>RIGHT(TRIPS[[#This Row],[LORRY NO]],4)</f>
        <v>0723</v>
      </c>
      <c r="L25" t="str">
        <f>TEXT(TRIPS[[#This Row],[TP DATE]],"mmm")</f>
        <v>Nov</v>
      </c>
    </row>
    <row r="26" spans="1:12" x14ac:dyDescent="0.25">
      <c r="A26">
        <v>25</v>
      </c>
      <c r="B26">
        <v>224</v>
      </c>
      <c r="C26" t="s">
        <v>226</v>
      </c>
      <c r="D26" s="1">
        <v>45610</v>
      </c>
      <c r="E26">
        <v>24</v>
      </c>
      <c r="F26">
        <v>240</v>
      </c>
      <c r="G26" t="s">
        <v>209</v>
      </c>
      <c r="H26">
        <v>182900</v>
      </c>
      <c r="I26">
        <v>119070</v>
      </c>
      <c r="J26">
        <v>4000</v>
      </c>
      <c r="K26" t="str">
        <f>RIGHT(TRIPS[[#This Row],[LORRY NO]],4)</f>
        <v>6393</v>
      </c>
      <c r="L26" t="str">
        <f>TEXT(TRIPS[[#This Row],[TP DATE]],"mmm")</f>
        <v>Nov</v>
      </c>
    </row>
    <row r="27" spans="1:12" x14ac:dyDescent="0.25">
      <c r="A27">
        <v>26</v>
      </c>
      <c r="B27">
        <v>225</v>
      </c>
      <c r="C27" t="s">
        <v>227</v>
      </c>
      <c r="D27" s="1">
        <v>45612</v>
      </c>
      <c r="E27">
        <v>25</v>
      </c>
      <c r="F27">
        <v>200</v>
      </c>
      <c r="G27" t="s">
        <v>209</v>
      </c>
      <c r="H27">
        <v>433575</v>
      </c>
      <c r="I27">
        <v>80472</v>
      </c>
      <c r="J27">
        <v>4000</v>
      </c>
      <c r="K27" t="str">
        <f>RIGHT(TRIPS[[#This Row],[LORRY NO]],4)</f>
        <v>3384</v>
      </c>
      <c r="L27" t="str">
        <f>TEXT(TRIPS[[#This Row],[TP DATE]],"mmm")</f>
        <v>Nov</v>
      </c>
    </row>
    <row r="28" spans="1:12" x14ac:dyDescent="0.25">
      <c r="A28">
        <v>27</v>
      </c>
      <c r="B28">
        <v>226</v>
      </c>
      <c r="C28" t="s">
        <v>223</v>
      </c>
      <c r="D28" s="1">
        <v>45613</v>
      </c>
      <c r="E28">
        <v>26</v>
      </c>
      <c r="F28">
        <v>232</v>
      </c>
      <c r="G28" t="s">
        <v>209</v>
      </c>
      <c r="H28">
        <v>183800</v>
      </c>
      <c r="I28">
        <v>109200</v>
      </c>
      <c r="J28">
        <v>4000</v>
      </c>
      <c r="K28" t="str">
        <f>RIGHT(TRIPS[[#This Row],[LORRY NO]],4)</f>
        <v>5293</v>
      </c>
      <c r="L28" t="str">
        <f>TEXT(TRIPS[[#This Row],[TP DATE]],"mmm")</f>
        <v>Nov</v>
      </c>
    </row>
    <row r="29" spans="1:12" x14ac:dyDescent="0.25">
      <c r="A29">
        <v>28</v>
      </c>
      <c r="B29">
        <v>228</v>
      </c>
      <c r="C29" t="s">
        <v>221</v>
      </c>
      <c r="D29" s="1">
        <v>45617</v>
      </c>
      <c r="E29">
        <v>28</v>
      </c>
      <c r="F29">
        <v>200</v>
      </c>
      <c r="G29" t="s">
        <v>209</v>
      </c>
      <c r="H29">
        <v>138600</v>
      </c>
      <c r="I29">
        <v>119616</v>
      </c>
      <c r="J29">
        <v>4000</v>
      </c>
      <c r="K29" t="str">
        <f>RIGHT(TRIPS[[#This Row],[LORRY NO]],4)</f>
        <v>1055</v>
      </c>
      <c r="L29" t="str">
        <f>TEXT(TRIPS[[#This Row],[TP DATE]],"mmm")</f>
        <v>Nov</v>
      </c>
    </row>
    <row r="30" spans="1:12" x14ac:dyDescent="0.25">
      <c r="A30">
        <v>29</v>
      </c>
      <c r="B30">
        <v>229</v>
      </c>
      <c r="C30" t="s">
        <v>208</v>
      </c>
      <c r="D30" s="1">
        <v>45621</v>
      </c>
      <c r="E30">
        <v>29</v>
      </c>
      <c r="F30">
        <v>234</v>
      </c>
      <c r="G30" t="s">
        <v>209</v>
      </c>
      <c r="H30">
        <v>189450</v>
      </c>
      <c r="I30">
        <v>115752</v>
      </c>
      <c r="J30">
        <v>4000</v>
      </c>
      <c r="K30" t="str">
        <f>RIGHT(TRIPS[[#This Row],[LORRY NO]],4)</f>
        <v>6393</v>
      </c>
      <c r="L30" t="str">
        <f>TEXT(TRIPS[[#This Row],[TP DATE]],"mmm")</f>
        <v>Nov</v>
      </c>
    </row>
    <row r="31" spans="1:12" x14ac:dyDescent="0.25">
      <c r="A31">
        <v>30</v>
      </c>
      <c r="B31">
        <v>230</v>
      </c>
      <c r="C31" t="s">
        <v>224</v>
      </c>
      <c r="D31" s="1">
        <v>45623</v>
      </c>
      <c r="E31">
        <v>30</v>
      </c>
      <c r="F31">
        <v>199</v>
      </c>
      <c r="G31" t="s">
        <v>209</v>
      </c>
      <c r="H31">
        <v>204300</v>
      </c>
      <c r="I31">
        <v>117222</v>
      </c>
      <c r="J31">
        <v>4000</v>
      </c>
      <c r="K31" t="str">
        <f>RIGHT(TRIPS[[#This Row],[LORRY NO]],4)</f>
        <v>7130</v>
      </c>
      <c r="L31" t="str">
        <f>TEXT(TRIPS[[#This Row],[TP DATE]],"mmm")</f>
        <v>Nov</v>
      </c>
    </row>
    <row r="32" spans="1:12" x14ac:dyDescent="0.25">
      <c r="A32">
        <v>31</v>
      </c>
      <c r="B32">
        <v>231</v>
      </c>
      <c r="C32" t="s">
        <v>223</v>
      </c>
      <c r="D32" s="1">
        <v>45623</v>
      </c>
      <c r="E32">
        <v>31</v>
      </c>
      <c r="F32">
        <v>226</v>
      </c>
      <c r="G32" t="s">
        <v>209</v>
      </c>
      <c r="H32">
        <v>221500</v>
      </c>
      <c r="I32">
        <v>118944</v>
      </c>
      <c r="J32">
        <v>4000</v>
      </c>
      <c r="K32" t="str">
        <f>RIGHT(TRIPS[[#This Row],[LORRY NO]],4)</f>
        <v>5293</v>
      </c>
      <c r="L32" t="str">
        <f>TEXT(TRIPS[[#This Row],[TP DATE]],"mmm")</f>
        <v>Nov</v>
      </c>
    </row>
    <row r="33" spans="1:12" x14ac:dyDescent="0.25">
      <c r="A33">
        <v>32</v>
      </c>
      <c r="B33">
        <v>232</v>
      </c>
      <c r="C33" t="s">
        <v>227</v>
      </c>
      <c r="D33" s="1">
        <v>45624</v>
      </c>
      <c r="E33">
        <v>32</v>
      </c>
      <c r="F33">
        <v>200</v>
      </c>
      <c r="G33" t="s">
        <v>209</v>
      </c>
      <c r="H33">
        <v>138500</v>
      </c>
      <c r="I33">
        <v>113400</v>
      </c>
      <c r="J33">
        <v>4000</v>
      </c>
      <c r="K33" t="str">
        <f>RIGHT(TRIPS[[#This Row],[LORRY NO]],4)</f>
        <v>3384</v>
      </c>
      <c r="L33" t="str">
        <f>TEXT(TRIPS[[#This Row],[TP DATE]],"mmm")</f>
        <v>Nov</v>
      </c>
    </row>
    <row r="34" spans="1:12" x14ac:dyDescent="0.25">
      <c r="A34">
        <v>33</v>
      </c>
      <c r="B34">
        <v>233</v>
      </c>
      <c r="C34" t="s">
        <v>225</v>
      </c>
      <c r="D34" s="1">
        <v>45626</v>
      </c>
      <c r="E34">
        <v>33</v>
      </c>
      <c r="F34">
        <v>200</v>
      </c>
      <c r="G34" t="s">
        <v>209</v>
      </c>
      <c r="H34">
        <v>159750</v>
      </c>
      <c r="I34">
        <v>111552</v>
      </c>
      <c r="J34">
        <v>4000</v>
      </c>
      <c r="K34" t="str">
        <f>RIGHT(TRIPS[[#This Row],[LORRY NO]],4)</f>
        <v>1066</v>
      </c>
      <c r="L34" t="str">
        <f>TEXT(TRIPS[[#This Row],[TP DATE]],"mmm")</f>
        <v>Nov</v>
      </c>
    </row>
    <row r="35" spans="1:12" x14ac:dyDescent="0.25">
      <c r="A35">
        <v>34</v>
      </c>
      <c r="B35">
        <v>234</v>
      </c>
      <c r="C35" t="s">
        <v>222</v>
      </c>
      <c r="D35" s="1">
        <v>45628</v>
      </c>
      <c r="E35">
        <v>34</v>
      </c>
      <c r="F35">
        <v>200</v>
      </c>
      <c r="G35" t="s">
        <v>209</v>
      </c>
      <c r="H35">
        <v>145800</v>
      </c>
      <c r="I35">
        <v>115332</v>
      </c>
      <c r="J35">
        <v>4000</v>
      </c>
      <c r="K35" t="str">
        <f>RIGHT(TRIPS[[#This Row],[LORRY NO]],4)</f>
        <v>0723</v>
      </c>
      <c r="L35" t="str">
        <f>TEXT(TRIPS[[#This Row],[TP DATE]],"mmm")</f>
        <v>Dec</v>
      </c>
    </row>
    <row r="36" spans="1:12" x14ac:dyDescent="0.25">
      <c r="A36">
        <v>35</v>
      </c>
      <c r="B36">
        <v>235</v>
      </c>
      <c r="C36" t="s">
        <v>208</v>
      </c>
      <c r="D36" s="1">
        <v>45629</v>
      </c>
      <c r="E36">
        <v>35</v>
      </c>
      <c r="F36">
        <v>199</v>
      </c>
      <c r="G36" t="s">
        <v>209</v>
      </c>
      <c r="H36">
        <v>589300</v>
      </c>
      <c r="I36">
        <v>92400</v>
      </c>
      <c r="J36">
        <v>4000</v>
      </c>
      <c r="K36" t="str">
        <f>RIGHT(TRIPS[[#This Row],[LORRY NO]],4)</f>
        <v>6393</v>
      </c>
      <c r="L36" t="str">
        <f>TEXT(TRIPS[[#This Row],[TP DATE]],"mmm")</f>
        <v>Dec</v>
      </c>
    </row>
    <row r="37" spans="1:12" x14ac:dyDescent="0.25">
      <c r="A37">
        <v>36</v>
      </c>
      <c r="B37">
        <v>236</v>
      </c>
      <c r="C37" t="s">
        <v>219</v>
      </c>
      <c r="D37" s="1">
        <v>45630</v>
      </c>
      <c r="E37">
        <v>36</v>
      </c>
      <c r="F37">
        <v>227</v>
      </c>
      <c r="G37" t="s">
        <v>209</v>
      </c>
      <c r="H37">
        <v>219200</v>
      </c>
      <c r="I37">
        <v>116256</v>
      </c>
      <c r="J37">
        <v>4000</v>
      </c>
      <c r="K37" t="str">
        <f>RIGHT(TRIPS[[#This Row],[LORRY NO]],4)</f>
        <v>5295</v>
      </c>
      <c r="L37" t="str">
        <f>TEXT(TRIPS[[#This Row],[TP DATE]],"mmm")</f>
        <v>Dec</v>
      </c>
    </row>
    <row r="38" spans="1:12" x14ac:dyDescent="0.25">
      <c r="A38">
        <v>37</v>
      </c>
      <c r="B38">
        <v>237</v>
      </c>
      <c r="C38" t="s">
        <v>223</v>
      </c>
      <c r="D38" s="1">
        <v>45631</v>
      </c>
      <c r="E38">
        <v>37</v>
      </c>
      <c r="F38">
        <v>240</v>
      </c>
      <c r="G38" t="s">
        <v>209</v>
      </c>
      <c r="H38">
        <v>389100</v>
      </c>
      <c r="I38">
        <v>132972</v>
      </c>
      <c r="J38">
        <v>4000</v>
      </c>
      <c r="K38" t="str">
        <f>RIGHT(TRIPS[[#This Row],[LORRY NO]],4)</f>
        <v>5293</v>
      </c>
      <c r="L38" t="str">
        <f>TEXT(TRIPS[[#This Row],[TP DATE]],"mmm")</f>
        <v>Dec</v>
      </c>
    </row>
    <row r="39" spans="1:12" x14ac:dyDescent="0.25">
      <c r="A39">
        <v>38</v>
      </c>
      <c r="B39">
        <v>238</v>
      </c>
      <c r="C39" t="s">
        <v>228</v>
      </c>
      <c r="D39" s="1">
        <v>45633</v>
      </c>
      <c r="E39">
        <v>38</v>
      </c>
      <c r="F39">
        <v>200</v>
      </c>
      <c r="G39" t="s">
        <v>210</v>
      </c>
      <c r="H39">
        <v>238200</v>
      </c>
      <c r="I39">
        <v>111468</v>
      </c>
      <c r="J39">
        <v>4000</v>
      </c>
      <c r="K39" t="str">
        <f>RIGHT(TRIPS[[#This Row],[LORRY NO]],4)</f>
        <v>5128</v>
      </c>
      <c r="L39" t="str">
        <f>TEXT(TRIPS[[#This Row],[TP DATE]],"mmm")</f>
        <v>Dec</v>
      </c>
    </row>
    <row r="40" spans="1:12" x14ac:dyDescent="0.25">
      <c r="A40">
        <v>39</v>
      </c>
      <c r="B40">
        <v>239</v>
      </c>
      <c r="C40" t="s">
        <v>224</v>
      </c>
      <c r="D40" s="1">
        <v>45634</v>
      </c>
      <c r="E40">
        <v>39</v>
      </c>
      <c r="F40">
        <v>199</v>
      </c>
      <c r="G40" t="s">
        <v>209</v>
      </c>
      <c r="H40">
        <v>428700</v>
      </c>
      <c r="I40">
        <v>113750</v>
      </c>
      <c r="J40">
        <v>4000</v>
      </c>
      <c r="K40" t="str">
        <f>RIGHT(TRIPS[[#This Row],[LORRY NO]],4)</f>
        <v>7130</v>
      </c>
      <c r="L40" t="str">
        <f>TEXT(TRIPS[[#This Row],[TP DATE]],"mmm")</f>
        <v>Dec</v>
      </c>
    </row>
    <row r="41" spans="1:12" x14ac:dyDescent="0.25">
      <c r="A41">
        <v>40</v>
      </c>
      <c r="B41">
        <v>240</v>
      </c>
      <c r="C41" t="s">
        <v>215</v>
      </c>
      <c r="D41" s="1">
        <v>45638</v>
      </c>
      <c r="E41">
        <v>240</v>
      </c>
      <c r="F41">
        <v>192</v>
      </c>
      <c r="G41" t="s">
        <v>209</v>
      </c>
      <c r="H41">
        <v>410370</v>
      </c>
      <c r="I41">
        <v>121128</v>
      </c>
      <c r="J41">
        <v>4000</v>
      </c>
      <c r="K41" t="str">
        <f>RIGHT(TRIPS[[#This Row],[LORRY NO]],4)</f>
        <v>1055</v>
      </c>
      <c r="L41" t="str">
        <f>TEXT(TRIPS[[#This Row],[TP DATE]],"mmm")</f>
        <v>Dec</v>
      </c>
    </row>
    <row r="42" spans="1:12" x14ac:dyDescent="0.25">
      <c r="A42">
        <v>41</v>
      </c>
      <c r="B42">
        <v>104</v>
      </c>
      <c r="C42" t="s">
        <v>212</v>
      </c>
      <c r="D42" s="1">
        <v>45641</v>
      </c>
      <c r="E42">
        <v>4</v>
      </c>
      <c r="F42">
        <v>196</v>
      </c>
      <c r="G42" t="s">
        <v>209</v>
      </c>
      <c r="H42">
        <v>247949</v>
      </c>
      <c r="I42">
        <v>121800</v>
      </c>
      <c r="J42">
        <v>4000</v>
      </c>
      <c r="K42" t="str">
        <f>RIGHT(TRIPS[[#This Row],[LORRY NO]],4)</f>
        <v>6299</v>
      </c>
      <c r="L42" t="str">
        <f>TEXT(TRIPS[[#This Row],[TP DATE]],"mmm")</f>
        <v>Dec</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6C71E-3143-4BD9-9CA8-565D4363EA4F}">
  <sheetPr codeName="Sheet89"/>
  <dimension ref="A1:BG246"/>
  <sheetViews>
    <sheetView showGridLines="0" zoomScale="73" workbookViewId="0">
      <selection activeCell="S23" sqref="S23"/>
    </sheetView>
  </sheetViews>
  <sheetFormatPr defaultRowHeight="15" x14ac:dyDescent="0.25"/>
  <sheetData>
    <row r="1" spans="1:59" x14ac:dyDescent="0.25">
      <c r="A1" s="5"/>
      <c r="B1" s="5"/>
      <c r="C1" s="5"/>
      <c r="D1" s="5"/>
      <c r="E1" s="5"/>
      <c r="F1" s="5"/>
      <c r="G1" s="5"/>
      <c r="H1" s="5"/>
      <c r="I1" s="5"/>
      <c r="J1" s="5"/>
      <c r="K1" s="5"/>
      <c r="L1" s="5"/>
      <c r="M1" s="5"/>
      <c r="N1" s="5"/>
      <c r="O1" s="5"/>
      <c r="P1" s="5"/>
      <c r="Q1" s="5"/>
      <c r="R1" s="5"/>
      <c r="S1" s="5"/>
      <c r="T1" s="5"/>
      <c r="U1" s="5"/>
      <c r="V1" s="5"/>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row>
    <row r="2" spans="1:59" x14ac:dyDescent="0.25">
      <c r="A2" s="5"/>
      <c r="B2" s="5"/>
      <c r="C2" s="5"/>
      <c r="D2" s="5"/>
      <c r="E2" s="5"/>
      <c r="F2" s="5"/>
      <c r="G2" s="5"/>
      <c r="H2" s="5"/>
      <c r="I2" s="5"/>
      <c r="J2" s="5"/>
      <c r="K2" s="5"/>
      <c r="L2" s="5"/>
      <c r="M2" s="5"/>
      <c r="N2" s="5"/>
      <c r="O2" s="5"/>
      <c r="P2" s="5"/>
      <c r="Q2" s="5"/>
      <c r="R2" s="5"/>
      <c r="S2" s="5"/>
      <c r="T2" s="5"/>
      <c r="U2" s="5"/>
      <c r="V2" s="5"/>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row>
    <row r="3" spans="1:59" x14ac:dyDescent="0.25">
      <c r="A3" s="5"/>
      <c r="B3" s="5"/>
      <c r="C3" s="5"/>
      <c r="D3" s="5"/>
      <c r="E3" s="5"/>
      <c r="F3" s="5"/>
      <c r="G3" s="5"/>
      <c r="H3" s="5"/>
      <c r="I3" s="5"/>
      <c r="J3" s="5"/>
      <c r="K3" s="5"/>
      <c r="L3" s="5"/>
      <c r="M3" s="5"/>
      <c r="N3" s="5"/>
      <c r="O3" s="5"/>
      <c r="P3" s="5"/>
      <c r="Q3" s="5"/>
      <c r="R3" s="5"/>
      <c r="S3" s="5"/>
      <c r="T3" s="5"/>
      <c r="U3" s="5"/>
      <c r="V3" s="5"/>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row>
    <row r="4" spans="1:59" x14ac:dyDescent="0.25">
      <c r="A4" s="5"/>
      <c r="B4" s="5"/>
      <c r="C4" s="5"/>
      <c r="D4" s="5"/>
      <c r="E4" s="5"/>
      <c r="F4" s="5"/>
      <c r="G4" s="5"/>
      <c r="H4" s="5"/>
      <c r="I4" s="5"/>
      <c r="J4" s="5"/>
      <c r="K4" s="5"/>
      <c r="L4" s="5"/>
      <c r="M4" s="5"/>
      <c r="N4" s="5"/>
      <c r="O4" s="5"/>
      <c r="P4" s="5"/>
      <c r="Q4" s="5"/>
      <c r="R4" s="5"/>
      <c r="S4" s="5"/>
      <c r="T4" s="5"/>
      <c r="U4" s="5"/>
      <c r="V4" s="5"/>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row>
    <row r="5" spans="1:59" x14ac:dyDescent="0.25">
      <c r="A5" s="5"/>
      <c r="B5" s="5"/>
      <c r="C5" s="5"/>
      <c r="D5" s="5"/>
      <c r="E5" s="5"/>
      <c r="F5" s="5"/>
      <c r="G5" s="5"/>
      <c r="H5" s="5"/>
      <c r="I5" s="5"/>
      <c r="J5" s="5"/>
      <c r="K5" s="5"/>
      <c r="L5" s="5"/>
      <c r="M5" s="5"/>
      <c r="N5" s="5"/>
      <c r="O5" s="5"/>
      <c r="P5" s="5"/>
      <c r="Q5" s="5"/>
      <c r="R5" s="5"/>
      <c r="S5" s="5"/>
      <c r="T5" s="5"/>
      <c r="U5" s="5"/>
      <c r="V5" s="5"/>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row>
    <row r="6" spans="1:59" x14ac:dyDescent="0.25">
      <c r="A6" s="5"/>
      <c r="B6" s="5"/>
      <c r="C6" s="5"/>
      <c r="D6" s="5"/>
      <c r="E6" s="5"/>
      <c r="F6" s="5"/>
      <c r="G6" s="5"/>
      <c r="H6" s="5"/>
      <c r="I6" s="5"/>
      <c r="J6" s="5"/>
      <c r="K6" s="5"/>
      <c r="L6" s="5"/>
      <c r="M6" s="5"/>
      <c r="N6" s="5"/>
      <c r="O6" s="5"/>
      <c r="P6" s="5"/>
      <c r="Q6" s="5"/>
      <c r="R6" s="5"/>
      <c r="S6" s="5"/>
      <c r="T6" s="5"/>
      <c r="U6" s="5"/>
      <c r="V6" s="5"/>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row>
    <row r="7" spans="1:59" x14ac:dyDescent="0.25">
      <c r="A7" s="5"/>
      <c r="B7" s="5"/>
      <c r="C7" s="5"/>
      <c r="D7" s="5"/>
      <c r="E7" s="5"/>
      <c r="F7" s="5"/>
      <c r="G7" s="5"/>
      <c r="H7" s="5"/>
      <c r="I7" s="5"/>
      <c r="J7" s="5"/>
      <c r="K7" s="5"/>
      <c r="L7" s="5"/>
      <c r="M7" s="5"/>
      <c r="N7" s="5"/>
      <c r="O7" s="5"/>
      <c r="P7" s="5"/>
      <c r="Q7" s="5"/>
      <c r="R7" s="5"/>
      <c r="S7" s="5"/>
      <c r="T7" s="5"/>
      <c r="U7" s="5"/>
      <c r="V7" s="5"/>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row>
    <row r="8" spans="1:59" x14ac:dyDescent="0.25">
      <c r="A8" s="5"/>
      <c r="B8" s="5"/>
      <c r="C8" s="5"/>
      <c r="D8" s="5"/>
      <c r="E8" s="5"/>
      <c r="F8" s="5"/>
      <c r="G8" s="5"/>
      <c r="H8" s="5"/>
      <c r="I8" s="5"/>
      <c r="J8" s="5"/>
      <c r="K8" s="5"/>
      <c r="L8" s="5"/>
      <c r="M8" s="5"/>
      <c r="N8" s="5"/>
      <c r="O8" s="5"/>
      <c r="P8" s="5"/>
      <c r="Q8" s="5"/>
      <c r="R8" s="5"/>
      <c r="S8" s="5"/>
      <c r="T8" s="5"/>
      <c r="U8" s="5"/>
      <c r="V8" s="5"/>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row>
    <row r="9" spans="1:59" x14ac:dyDescent="0.25">
      <c r="A9" s="5"/>
      <c r="B9" s="5"/>
      <c r="C9" s="5"/>
      <c r="D9" s="5"/>
      <c r="E9" s="5"/>
      <c r="F9" s="5"/>
      <c r="G9" s="5"/>
      <c r="H9" s="5"/>
      <c r="I9" s="5"/>
      <c r="J9" s="5"/>
      <c r="K9" s="5"/>
      <c r="L9" s="5"/>
      <c r="M9" s="5"/>
      <c r="N9" s="5"/>
      <c r="O9" s="5"/>
      <c r="P9" s="5"/>
      <c r="Q9" s="5"/>
      <c r="R9" s="5"/>
      <c r="S9" s="5"/>
      <c r="T9" s="5"/>
      <c r="U9" s="5"/>
      <c r="V9" s="5"/>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row>
    <row r="10" spans="1:59" x14ac:dyDescent="0.25">
      <c r="A10" s="5"/>
      <c r="B10" s="5"/>
      <c r="C10" s="5"/>
      <c r="D10" s="5"/>
      <c r="E10" s="5"/>
      <c r="F10" s="5"/>
      <c r="G10" s="5"/>
      <c r="H10" s="5"/>
      <c r="I10" s="5"/>
      <c r="J10" s="5"/>
      <c r="K10" s="5"/>
      <c r="L10" s="5"/>
      <c r="M10" s="5"/>
      <c r="N10" s="5"/>
      <c r="O10" s="5"/>
      <c r="P10" s="5"/>
      <c r="Q10" s="5"/>
      <c r="R10" s="5"/>
      <c r="S10" s="5"/>
      <c r="T10" s="5"/>
      <c r="U10" s="5"/>
      <c r="V10" s="5"/>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row>
    <row r="11" spans="1:59" x14ac:dyDescent="0.25">
      <c r="A11" s="5"/>
      <c r="B11" s="5"/>
      <c r="C11" s="5"/>
      <c r="D11" s="5"/>
      <c r="E11" s="5"/>
      <c r="F11" s="5"/>
      <c r="G11" s="5"/>
      <c r="H11" s="5"/>
      <c r="I11" s="5"/>
      <c r="J11" s="5"/>
      <c r="K11" s="5"/>
      <c r="L11" s="5"/>
      <c r="M11" s="5"/>
      <c r="N11" s="5"/>
      <c r="O11" s="5"/>
      <c r="P11" s="5"/>
      <c r="Q11" s="5"/>
      <c r="R11" s="5"/>
      <c r="S11" s="5"/>
      <c r="T11" s="5"/>
      <c r="U11" s="5"/>
      <c r="V11" s="5"/>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row>
    <row r="12" spans="1:59" x14ac:dyDescent="0.25">
      <c r="A12" s="5"/>
      <c r="B12" s="5"/>
      <c r="C12" s="5"/>
      <c r="D12" s="5"/>
      <c r="E12" s="5"/>
      <c r="F12" s="5"/>
      <c r="G12" s="5"/>
      <c r="H12" s="5"/>
      <c r="I12" s="5"/>
      <c r="J12" s="5"/>
      <c r="K12" s="5"/>
      <c r="L12" s="5"/>
      <c r="M12" s="5"/>
      <c r="N12" s="5"/>
      <c r="O12" s="5"/>
      <c r="P12" s="5"/>
      <c r="Q12" s="5"/>
      <c r="R12" s="5"/>
      <c r="S12" s="5"/>
      <c r="T12" s="5"/>
      <c r="U12" s="5"/>
      <c r="V12" s="5"/>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row>
    <row r="13" spans="1:59" x14ac:dyDescent="0.25">
      <c r="A13" s="5"/>
      <c r="B13" s="5"/>
      <c r="C13" s="5"/>
      <c r="D13" s="5"/>
      <c r="E13" s="5"/>
      <c r="F13" s="5"/>
      <c r="G13" s="5"/>
      <c r="H13" s="5"/>
      <c r="I13" s="5"/>
      <c r="J13" s="5"/>
      <c r="K13" s="5"/>
      <c r="L13" s="5"/>
      <c r="M13" s="5"/>
      <c r="N13" s="5"/>
      <c r="O13" s="5"/>
      <c r="P13" s="5"/>
      <c r="Q13" s="5"/>
      <c r="R13" s="5"/>
      <c r="S13" s="5"/>
      <c r="T13" s="5"/>
      <c r="U13" s="5"/>
      <c r="V13" s="5"/>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row>
    <row r="14" spans="1:59" x14ac:dyDescent="0.25">
      <c r="A14" s="5"/>
      <c r="B14" s="5"/>
      <c r="C14" s="5"/>
      <c r="D14" s="5"/>
      <c r="E14" s="5"/>
      <c r="F14" s="5"/>
      <c r="G14" s="5"/>
      <c r="H14" s="5"/>
      <c r="I14" s="5"/>
      <c r="J14" s="5"/>
      <c r="K14" s="5"/>
      <c r="L14" s="5"/>
      <c r="M14" s="5"/>
      <c r="N14" s="5"/>
      <c r="O14" s="5"/>
      <c r="P14" s="5"/>
      <c r="Q14" s="5"/>
      <c r="R14" s="5"/>
      <c r="S14" s="5"/>
      <c r="T14" s="5"/>
      <c r="U14" s="5"/>
      <c r="V14" s="5"/>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row>
    <row r="15" spans="1:59" x14ac:dyDescent="0.25">
      <c r="A15" s="5"/>
      <c r="B15" s="5"/>
      <c r="C15" s="5"/>
      <c r="D15" s="5"/>
      <c r="E15" s="5"/>
      <c r="F15" s="5"/>
      <c r="G15" s="5"/>
      <c r="H15" s="5"/>
      <c r="I15" s="5"/>
      <c r="J15" s="5"/>
      <c r="K15" s="5"/>
      <c r="L15" s="5"/>
      <c r="M15" s="5"/>
      <c r="N15" s="5"/>
      <c r="O15" s="5"/>
      <c r="P15" s="5"/>
      <c r="Q15" s="5"/>
      <c r="R15" s="5"/>
      <c r="S15" s="5"/>
      <c r="T15" s="5"/>
      <c r="U15" s="5"/>
      <c r="V15" s="5"/>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row>
    <row r="16" spans="1:59" x14ac:dyDescent="0.25">
      <c r="A16" s="5"/>
      <c r="B16" s="5"/>
      <c r="C16" s="5"/>
      <c r="D16" s="5"/>
      <c r="E16" s="5"/>
      <c r="F16" s="5"/>
      <c r="G16" s="5"/>
      <c r="H16" s="5"/>
      <c r="I16" s="5"/>
      <c r="J16" s="5"/>
      <c r="K16" s="5"/>
      <c r="L16" s="5"/>
      <c r="M16" s="5"/>
      <c r="N16" s="5"/>
      <c r="O16" s="5"/>
      <c r="P16" s="5"/>
      <c r="Q16" s="5"/>
      <c r="R16" s="5"/>
      <c r="S16" s="5"/>
      <c r="T16" s="5"/>
      <c r="U16" s="5"/>
      <c r="V16" s="5"/>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row>
    <row r="17" spans="1:59" x14ac:dyDescent="0.25">
      <c r="A17" s="5"/>
      <c r="B17" s="5"/>
      <c r="C17" s="5"/>
      <c r="D17" s="5"/>
      <c r="E17" s="5"/>
      <c r="F17" s="5"/>
      <c r="G17" s="5"/>
      <c r="H17" s="5"/>
      <c r="I17" s="5"/>
      <c r="J17" s="5"/>
      <c r="K17" s="5"/>
      <c r="L17" s="5"/>
      <c r="M17" s="5"/>
      <c r="N17" s="5"/>
      <c r="O17" s="5"/>
      <c r="P17" s="5"/>
      <c r="Q17" s="5"/>
      <c r="R17" s="5"/>
      <c r="S17" s="5"/>
      <c r="T17" s="5"/>
      <c r="U17" s="5"/>
      <c r="V17" s="5"/>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row>
    <row r="18" spans="1:59" x14ac:dyDescent="0.25">
      <c r="A18" s="5"/>
      <c r="B18" s="5"/>
      <c r="C18" s="5"/>
      <c r="D18" s="5"/>
      <c r="E18" s="5"/>
      <c r="F18" s="5"/>
      <c r="G18" s="5"/>
      <c r="H18" s="5"/>
      <c r="I18" s="5"/>
      <c r="J18" s="5"/>
      <c r="K18" s="5"/>
      <c r="L18" s="5"/>
      <c r="M18" s="5"/>
      <c r="N18" s="5"/>
      <c r="O18" s="5"/>
      <c r="P18" s="5"/>
      <c r="Q18" s="5"/>
      <c r="R18" s="5"/>
      <c r="S18" s="5"/>
      <c r="T18" s="5"/>
      <c r="U18" s="5"/>
      <c r="V18" s="5"/>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row>
    <row r="19" spans="1:59" x14ac:dyDescent="0.25">
      <c r="A19" s="5"/>
      <c r="B19" s="5"/>
      <c r="C19" s="5"/>
      <c r="D19" s="5"/>
      <c r="E19" s="5"/>
      <c r="F19" s="5"/>
      <c r="G19" s="5"/>
      <c r="H19" s="5"/>
      <c r="I19" s="5"/>
      <c r="J19" s="5"/>
      <c r="K19" s="5"/>
      <c r="L19" s="5"/>
      <c r="M19" s="5"/>
      <c r="N19" s="5"/>
      <c r="O19" s="5"/>
      <c r="P19" s="5"/>
      <c r="Q19" s="5"/>
      <c r="R19" s="5"/>
      <c r="S19" s="5"/>
      <c r="T19" s="5"/>
      <c r="U19" s="5"/>
      <c r="V19" s="5"/>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row>
    <row r="20" spans="1:59" x14ac:dyDescent="0.25">
      <c r="A20" s="5"/>
      <c r="B20" s="5"/>
      <c r="C20" s="5"/>
      <c r="D20" s="5"/>
      <c r="E20" s="5"/>
      <c r="F20" s="5"/>
      <c r="G20" s="5"/>
      <c r="H20" s="5"/>
      <c r="I20" s="5"/>
      <c r="J20" s="5"/>
      <c r="K20" s="5"/>
      <c r="L20" s="5"/>
      <c r="M20" s="5"/>
      <c r="N20" s="5"/>
      <c r="O20" s="5"/>
      <c r="P20" s="5"/>
      <c r="Q20" s="5"/>
      <c r="R20" s="5"/>
      <c r="S20" s="5"/>
      <c r="T20" s="5"/>
      <c r="U20" s="5"/>
      <c r="V20" s="5"/>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row>
    <row r="21" spans="1:59" x14ac:dyDescent="0.25">
      <c r="A21" s="5"/>
      <c r="B21" s="5"/>
      <c r="C21" s="5"/>
      <c r="D21" s="5"/>
      <c r="E21" s="5"/>
      <c r="F21" s="5"/>
      <c r="G21" s="5"/>
      <c r="H21" s="5"/>
      <c r="I21" s="5"/>
      <c r="J21" s="5"/>
      <c r="K21" s="5"/>
      <c r="L21" s="5"/>
      <c r="M21" s="5"/>
      <c r="N21" s="5"/>
      <c r="O21" s="5"/>
      <c r="P21" s="5"/>
      <c r="Q21" s="5"/>
      <c r="R21" s="5"/>
      <c r="S21" s="5"/>
      <c r="T21" s="5"/>
      <c r="U21" s="5"/>
      <c r="V21" s="5"/>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row>
    <row r="22" spans="1:59" x14ac:dyDescent="0.25">
      <c r="A22" s="5"/>
      <c r="B22" s="5"/>
      <c r="C22" s="5"/>
      <c r="D22" s="5"/>
      <c r="E22" s="5"/>
      <c r="F22" s="5"/>
      <c r="G22" s="5"/>
      <c r="H22" s="5"/>
      <c r="I22" s="5"/>
      <c r="J22" s="5"/>
      <c r="K22" s="5"/>
      <c r="L22" s="5"/>
      <c r="M22" s="5"/>
      <c r="N22" s="5"/>
      <c r="O22" s="5"/>
      <c r="P22" s="5"/>
      <c r="Q22" s="5"/>
      <c r="R22" s="5"/>
      <c r="S22" s="5"/>
      <c r="T22" s="5"/>
      <c r="U22" s="5"/>
      <c r="V22" s="5"/>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row>
    <row r="23" spans="1:59" x14ac:dyDescent="0.25">
      <c r="A23" s="5"/>
      <c r="B23" s="5"/>
      <c r="C23" s="5"/>
      <c r="D23" s="5"/>
      <c r="E23" s="5"/>
      <c r="F23" s="5"/>
      <c r="G23" s="5"/>
      <c r="H23" s="5"/>
      <c r="I23" s="5"/>
      <c r="J23" s="5"/>
      <c r="K23" s="5"/>
      <c r="L23" s="5"/>
      <c r="M23" s="5"/>
      <c r="N23" s="5"/>
      <c r="O23" s="5"/>
      <c r="P23" s="5"/>
      <c r="Q23" s="5"/>
      <c r="R23" s="5"/>
      <c r="S23" s="5"/>
      <c r="T23" s="5"/>
      <c r="U23" s="5"/>
      <c r="V23" s="5"/>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row>
    <row r="24" spans="1:59" x14ac:dyDescent="0.25">
      <c r="A24" s="5"/>
      <c r="B24" s="5"/>
      <c r="C24" s="5"/>
      <c r="D24" s="5"/>
      <c r="E24" s="5"/>
      <c r="F24" s="5"/>
      <c r="G24" s="5"/>
      <c r="H24" s="5"/>
      <c r="I24" s="5"/>
      <c r="J24" s="5"/>
      <c r="K24" s="5"/>
      <c r="L24" s="5"/>
      <c r="M24" s="5"/>
      <c r="N24" s="5"/>
      <c r="O24" s="5"/>
      <c r="P24" s="5"/>
      <c r="Q24" s="5"/>
      <c r="R24" s="5"/>
      <c r="S24" s="5"/>
      <c r="T24" s="5"/>
      <c r="U24" s="5"/>
      <c r="V24" s="5"/>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row>
    <row r="25" spans="1:59" x14ac:dyDescent="0.25">
      <c r="A25" s="5"/>
      <c r="B25" s="5"/>
      <c r="C25" s="5"/>
      <c r="D25" s="5"/>
      <c r="E25" s="5"/>
      <c r="F25" s="5"/>
      <c r="G25" s="5"/>
      <c r="H25" s="5"/>
      <c r="I25" s="5"/>
      <c r="J25" s="5"/>
      <c r="K25" s="5"/>
      <c r="L25" s="5"/>
      <c r="M25" s="5"/>
      <c r="N25" s="5"/>
      <c r="O25" s="5"/>
      <c r="P25" s="5"/>
      <c r="Q25" s="5"/>
      <c r="R25" s="5"/>
      <c r="S25" s="5"/>
      <c r="T25" s="5"/>
      <c r="U25" s="5"/>
      <c r="V25" s="5"/>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row>
    <row r="26" spans="1:59" x14ac:dyDescent="0.25">
      <c r="A26" s="5"/>
      <c r="B26" s="5"/>
      <c r="C26" s="5"/>
      <c r="D26" s="5"/>
      <c r="E26" s="5"/>
      <c r="F26" s="5"/>
      <c r="G26" s="5"/>
      <c r="H26" s="5"/>
      <c r="I26" s="5"/>
      <c r="J26" s="5"/>
      <c r="K26" s="5"/>
      <c r="L26" s="5"/>
      <c r="M26" s="5"/>
      <c r="N26" s="5"/>
      <c r="O26" s="5"/>
      <c r="P26" s="5"/>
      <c r="Q26" s="5"/>
      <c r="R26" s="5"/>
      <c r="S26" s="5"/>
      <c r="T26" s="5"/>
      <c r="U26" s="5"/>
      <c r="V26" s="5"/>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row>
    <row r="27" spans="1:59" x14ac:dyDescent="0.25">
      <c r="A27" s="5"/>
      <c r="B27" s="5"/>
      <c r="C27" s="5"/>
      <c r="D27" s="5"/>
      <c r="E27" s="5"/>
      <c r="F27" s="5"/>
      <c r="G27" s="5"/>
      <c r="H27" s="5"/>
      <c r="I27" s="5"/>
      <c r="J27" s="5"/>
      <c r="K27" s="5"/>
      <c r="L27" s="5"/>
      <c r="M27" s="5"/>
      <c r="N27" s="5"/>
      <c r="O27" s="5"/>
      <c r="P27" s="5"/>
      <c r="Q27" s="5"/>
      <c r="R27" s="5"/>
      <c r="S27" s="5"/>
      <c r="T27" s="5"/>
      <c r="U27" s="5"/>
      <c r="V27" s="5"/>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row>
    <row r="28" spans="1:59" x14ac:dyDescent="0.25">
      <c r="A28" s="5"/>
      <c r="B28" s="5"/>
      <c r="C28" s="5"/>
      <c r="D28" s="5"/>
      <c r="E28" s="5"/>
      <c r="F28" s="5"/>
      <c r="G28" s="5"/>
      <c r="H28" s="5"/>
      <c r="I28" s="5"/>
      <c r="J28" s="5"/>
      <c r="K28" s="5"/>
      <c r="L28" s="5"/>
      <c r="M28" s="5"/>
      <c r="N28" s="5"/>
      <c r="O28" s="5"/>
      <c r="P28" s="5"/>
      <c r="Q28" s="5"/>
      <c r="R28" s="5"/>
      <c r="S28" s="5"/>
      <c r="T28" s="5"/>
      <c r="U28" s="5"/>
      <c r="V28" s="5"/>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row>
    <row r="29" spans="1:59" x14ac:dyDescent="0.25">
      <c r="A29" s="5"/>
      <c r="B29" s="5"/>
      <c r="C29" s="5"/>
      <c r="D29" s="5"/>
      <c r="E29" s="5"/>
      <c r="F29" s="5"/>
      <c r="G29" s="5"/>
      <c r="H29" s="5"/>
      <c r="I29" s="5"/>
      <c r="J29" s="5"/>
      <c r="K29" s="5"/>
      <c r="L29" s="5"/>
      <c r="M29" s="5"/>
      <c r="N29" s="5"/>
      <c r="O29" s="5"/>
      <c r="P29" s="5"/>
      <c r="Q29" s="5"/>
      <c r="R29" s="5"/>
      <c r="S29" s="5"/>
      <c r="T29" s="5"/>
      <c r="U29" s="5"/>
      <c r="V29" s="5"/>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row>
    <row r="30" spans="1:59" x14ac:dyDescent="0.25">
      <c r="A30" s="5"/>
      <c r="B30" s="5"/>
      <c r="C30" s="5"/>
      <c r="D30" s="5"/>
      <c r="E30" s="5"/>
      <c r="F30" s="5"/>
      <c r="G30" s="5"/>
      <c r="H30" s="5"/>
      <c r="I30" s="5"/>
      <c r="J30" s="5"/>
      <c r="K30" s="5"/>
      <c r="L30" s="5"/>
      <c r="M30" s="5"/>
      <c r="N30" s="5"/>
      <c r="O30" s="5"/>
      <c r="P30" s="5"/>
      <c r="Q30" s="5"/>
      <c r="R30" s="5"/>
      <c r="S30" s="5"/>
      <c r="T30" s="5"/>
      <c r="U30" s="5"/>
      <c r="V30" s="5"/>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row>
    <row r="31" spans="1:59" x14ac:dyDescent="0.25">
      <c r="A31" s="5"/>
      <c r="B31" s="5"/>
      <c r="C31" s="5"/>
      <c r="D31" s="5"/>
      <c r="E31" s="5"/>
      <c r="F31" s="5"/>
      <c r="G31" s="5"/>
      <c r="H31" s="5"/>
      <c r="I31" s="5"/>
      <c r="J31" s="5"/>
      <c r="K31" s="5"/>
      <c r="L31" s="5"/>
      <c r="M31" s="5"/>
      <c r="N31" s="5"/>
      <c r="O31" s="5"/>
      <c r="P31" s="5"/>
      <c r="Q31" s="5"/>
      <c r="R31" s="5"/>
      <c r="S31" s="5"/>
      <c r="T31" s="5"/>
      <c r="U31" s="5"/>
      <c r="V31" s="5"/>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row>
    <row r="32" spans="1:59" x14ac:dyDescent="0.25">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row>
    <row r="33" spans="1:59" x14ac:dyDescent="0.25">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row>
    <row r="34" spans="1:59" x14ac:dyDescent="0.25">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row>
    <row r="35" spans="1:59" x14ac:dyDescent="0.25">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row>
    <row r="36" spans="1:59" x14ac:dyDescent="0.25">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row>
    <row r="37" spans="1:59" x14ac:dyDescent="0.25">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row>
    <row r="38" spans="1:59" x14ac:dyDescent="0.25">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row>
    <row r="39" spans="1:59" x14ac:dyDescent="0.25">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row>
    <row r="40" spans="1:59" x14ac:dyDescent="0.25">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row>
    <row r="41" spans="1:59" x14ac:dyDescent="0.25">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row>
    <row r="42" spans="1:59" x14ac:dyDescent="0.25">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row>
    <row r="43" spans="1:59" x14ac:dyDescent="0.25">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row>
    <row r="44" spans="1:59" x14ac:dyDescent="0.25">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row>
    <row r="45" spans="1:59" x14ac:dyDescent="0.25">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row>
    <row r="46" spans="1:59" x14ac:dyDescent="0.25">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row>
    <row r="47" spans="1:59" x14ac:dyDescent="0.25">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row>
    <row r="48" spans="1:59" x14ac:dyDescent="0.25">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row>
    <row r="49" spans="1:59" x14ac:dyDescent="0.25">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row>
    <row r="50" spans="1:59" x14ac:dyDescent="0.25">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row>
    <row r="51" spans="1:59" x14ac:dyDescent="0.25">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row>
    <row r="52" spans="1:59" x14ac:dyDescent="0.25">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row>
    <row r="53" spans="1:59" x14ac:dyDescent="0.25">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row>
    <row r="54" spans="1:59" x14ac:dyDescent="0.25">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row>
    <row r="55" spans="1:59" x14ac:dyDescent="0.25">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row>
    <row r="56" spans="1:59" x14ac:dyDescent="0.25">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row>
    <row r="57" spans="1:59" x14ac:dyDescent="0.25">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row>
    <row r="58" spans="1:59" x14ac:dyDescent="0.25">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row>
    <row r="59" spans="1:59" x14ac:dyDescent="0.25">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row>
    <row r="60" spans="1:59" x14ac:dyDescent="0.25">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row>
    <row r="61" spans="1:59" x14ac:dyDescent="0.25">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row>
    <row r="62" spans="1:59" x14ac:dyDescent="0.25">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row>
    <row r="63" spans="1:59" x14ac:dyDescent="0.25">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row>
    <row r="64" spans="1:59" x14ac:dyDescent="0.25">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row>
    <row r="65" spans="1:59" x14ac:dyDescent="0.25">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row>
    <row r="66" spans="1:59" x14ac:dyDescent="0.25">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row>
    <row r="67" spans="1:59" x14ac:dyDescent="0.25">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row>
    <row r="68" spans="1:59" x14ac:dyDescent="0.25">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row>
    <row r="69" spans="1:59" x14ac:dyDescent="0.25">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row>
    <row r="70" spans="1:59" x14ac:dyDescent="0.25">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row>
    <row r="71" spans="1:59" x14ac:dyDescent="0.25">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row>
    <row r="72" spans="1:59" x14ac:dyDescent="0.25">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row>
    <row r="73" spans="1:59" x14ac:dyDescent="0.25">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row>
    <row r="74" spans="1:59" x14ac:dyDescent="0.25">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row>
    <row r="75" spans="1:59" x14ac:dyDescent="0.25">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row>
    <row r="76" spans="1:59" x14ac:dyDescent="0.2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row>
    <row r="77" spans="1:59" x14ac:dyDescent="0.2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row>
    <row r="78" spans="1:59" x14ac:dyDescent="0.2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row>
    <row r="79" spans="1:59" x14ac:dyDescent="0.2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row>
    <row r="80" spans="1:59" x14ac:dyDescent="0.2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row>
    <row r="81" spans="1:59" x14ac:dyDescent="0.2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row>
    <row r="82" spans="1:59" x14ac:dyDescent="0.2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row>
    <row r="83" spans="1:59" x14ac:dyDescent="0.2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row>
    <row r="84" spans="1:59" x14ac:dyDescent="0.2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row>
    <row r="85" spans="1:59" x14ac:dyDescent="0.2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row>
    <row r="86" spans="1:59" x14ac:dyDescent="0.2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row>
    <row r="87" spans="1:59" x14ac:dyDescent="0.2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row>
    <row r="88" spans="1:59" x14ac:dyDescent="0.2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row>
    <row r="89" spans="1:59" x14ac:dyDescent="0.2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row>
    <row r="90" spans="1:59" x14ac:dyDescent="0.2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row>
    <row r="91" spans="1:59" x14ac:dyDescent="0.2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row>
    <row r="92" spans="1:59" x14ac:dyDescent="0.2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row>
    <row r="93" spans="1:59" x14ac:dyDescent="0.2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row>
    <row r="94" spans="1:59" x14ac:dyDescent="0.2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row>
    <row r="95" spans="1:59" x14ac:dyDescent="0.2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row>
    <row r="96" spans="1:59" x14ac:dyDescent="0.2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row>
    <row r="97" spans="1:59" x14ac:dyDescent="0.2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row>
    <row r="98" spans="1:59" x14ac:dyDescent="0.2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row>
    <row r="99" spans="1:59" x14ac:dyDescent="0.2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row>
    <row r="100" spans="1:59"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row>
    <row r="101" spans="1:59"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row>
    <row r="102" spans="1:59"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row>
    <row r="103" spans="1:59"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row>
    <row r="104" spans="1:59"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row>
    <row r="105" spans="1:59"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row>
    <row r="106" spans="1:59"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row>
    <row r="107" spans="1:59"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row>
    <row r="108" spans="1:59"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row>
    <row r="109" spans="1:59"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row>
    <row r="110" spans="1:59"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row>
    <row r="111" spans="1:59"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row>
    <row r="112" spans="1:59"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row>
    <row r="113" spans="1:59"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row>
    <row r="114" spans="1:59"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row>
    <row r="115" spans="1:59"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row>
    <row r="116" spans="1:59"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row>
    <row r="117" spans="1:59"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row>
    <row r="118" spans="1:59"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row>
    <row r="119" spans="1:59"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row>
    <row r="120" spans="1:59"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row>
    <row r="121" spans="1:59"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row>
    <row r="122" spans="1:59"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row>
    <row r="123" spans="1:59"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row>
    <row r="124" spans="1:59"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row>
    <row r="125" spans="1:59"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row>
    <row r="126" spans="1:59"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row>
    <row r="127" spans="1:59"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row>
    <row r="128" spans="1:59"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row>
    <row r="129" spans="1:59"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row>
    <row r="130" spans="1:59"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row>
    <row r="131" spans="1:59"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row>
    <row r="132" spans="1:59"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row>
    <row r="133" spans="1:59"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row>
    <row r="134" spans="1:59"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row>
    <row r="135" spans="1:59"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row>
    <row r="136" spans="1:59"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row>
    <row r="137" spans="1:59"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row>
    <row r="138" spans="1:59"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row>
    <row r="139" spans="1:59"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row>
    <row r="140" spans="1:59"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row>
    <row r="141" spans="1:59"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row>
    <row r="142" spans="1:59"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row>
    <row r="143" spans="1:59"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row>
    <row r="144" spans="1:59"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row>
    <row r="145" spans="1:59"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row>
    <row r="146" spans="1:59"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row>
    <row r="147" spans="1:59"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row>
    <row r="148" spans="1:59"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row>
    <row r="149" spans="1:59"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row>
    <row r="150" spans="1:59"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row>
    <row r="151" spans="1:59"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row>
    <row r="152" spans="1:59"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row>
    <row r="153" spans="1:59"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row>
    <row r="154" spans="1:59"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row>
    <row r="155" spans="1:59"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row>
    <row r="156" spans="1:59"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row>
    <row r="157" spans="1:59"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row>
    <row r="158" spans="1:59"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row>
    <row r="159" spans="1:59"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row>
    <row r="160" spans="1:59"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row>
    <row r="161" spans="1:59"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row>
    <row r="162" spans="1:59"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row>
    <row r="163" spans="1:59"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row>
    <row r="164" spans="1:59"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row>
    <row r="165" spans="1:59"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row>
    <row r="166" spans="1:59"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row>
    <row r="167" spans="1:59"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row>
    <row r="168" spans="1:59"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row>
    <row r="169" spans="1:59"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row>
    <row r="170" spans="1:59"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row>
    <row r="171" spans="1:59"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row>
    <row r="172" spans="1:59"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row>
    <row r="173" spans="1:59"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row>
    <row r="174" spans="1:59"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row>
    <row r="175" spans="1:59"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row>
    <row r="176" spans="1:59"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row>
    <row r="177" spans="1:59"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row>
    <row r="178" spans="1:59"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row>
    <row r="179" spans="1:59"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row>
    <row r="180" spans="1:59"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row>
    <row r="181" spans="1:59"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row>
    <row r="182" spans="1:59"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row>
    <row r="183" spans="1:59"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row>
    <row r="184" spans="1:59"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row>
    <row r="185" spans="1:59"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row>
    <row r="186" spans="1:59"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row>
    <row r="187" spans="1:59"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row>
    <row r="188" spans="1:59"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row>
    <row r="189" spans="1:59"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row>
    <row r="190" spans="1:59"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row>
    <row r="191" spans="1:59"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row>
    <row r="192" spans="1:59"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row>
    <row r="193" spans="1:59"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row>
    <row r="194" spans="1:59"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row>
    <row r="195" spans="1:59"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row>
    <row r="196" spans="1:59"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row>
    <row r="197" spans="1:59"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row>
    <row r="198" spans="1:59"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row>
    <row r="199" spans="1:59"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row>
    <row r="200" spans="1:59"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row>
    <row r="201" spans="1:59" x14ac:dyDescent="0.25">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row>
    <row r="202" spans="1:59" x14ac:dyDescent="0.25">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row>
    <row r="203" spans="1:59" x14ac:dyDescent="0.25">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row>
    <row r="204" spans="1:59" x14ac:dyDescent="0.25">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row>
    <row r="205" spans="1:59" x14ac:dyDescent="0.25">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row>
    <row r="206" spans="1:59" x14ac:dyDescent="0.25">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row>
    <row r="207" spans="1:59" x14ac:dyDescent="0.25">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row>
    <row r="208" spans="1:59" x14ac:dyDescent="0.25">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row>
    <row r="209" spans="1:59" x14ac:dyDescent="0.25">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row>
    <row r="210" spans="1:59" x14ac:dyDescent="0.25">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row>
    <row r="211" spans="1:59" x14ac:dyDescent="0.25">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row>
    <row r="212" spans="1:59" x14ac:dyDescent="0.25">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row>
    <row r="213" spans="1:59" x14ac:dyDescent="0.25">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row>
    <row r="214" spans="1:59" x14ac:dyDescent="0.25">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row>
    <row r="215" spans="1:59" x14ac:dyDescent="0.25">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row>
    <row r="216" spans="1:59" x14ac:dyDescent="0.25">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row>
    <row r="217" spans="1:59" x14ac:dyDescent="0.25">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row>
    <row r="218" spans="1:59" x14ac:dyDescent="0.25">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row>
    <row r="219" spans="1:59" x14ac:dyDescent="0.25">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row>
    <row r="220" spans="1:59" x14ac:dyDescent="0.25">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row>
    <row r="221" spans="1:59" x14ac:dyDescent="0.25">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row>
    <row r="222" spans="1:59" x14ac:dyDescent="0.25">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row>
    <row r="223" spans="1:59" x14ac:dyDescent="0.25">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row>
    <row r="224" spans="1:59" x14ac:dyDescent="0.25">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row>
    <row r="225" spans="1:59" x14ac:dyDescent="0.25">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row>
    <row r="226" spans="1:59" x14ac:dyDescent="0.25">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row>
    <row r="227" spans="1:59" x14ac:dyDescent="0.25">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row>
    <row r="228" spans="1:59" x14ac:dyDescent="0.25">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row>
    <row r="229" spans="1:59" x14ac:dyDescent="0.25">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row>
    <row r="230" spans="1:59" x14ac:dyDescent="0.25">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row>
    <row r="231" spans="1:59" x14ac:dyDescent="0.25">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row>
    <row r="232" spans="1:59" x14ac:dyDescent="0.25">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row>
    <row r="233" spans="1:59" x14ac:dyDescent="0.25">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row>
    <row r="234" spans="1:59" x14ac:dyDescent="0.25">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row>
    <row r="235" spans="1:59" x14ac:dyDescent="0.25">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row>
    <row r="236" spans="1:59" x14ac:dyDescent="0.25">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row>
    <row r="237" spans="1:59" x14ac:dyDescent="0.25">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row>
    <row r="238" spans="1:59" x14ac:dyDescent="0.25">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row>
    <row r="239" spans="1:59" x14ac:dyDescent="0.25">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row>
    <row r="240" spans="1:59" x14ac:dyDescent="0.25">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row>
    <row r="241" spans="1:59" x14ac:dyDescent="0.25">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row>
    <row r="242" spans="1:59" x14ac:dyDescent="0.25">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row>
    <row r="243" spans="1:59" x14ac:dyDescent="0.25">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row>
    <row r="244" spans="1:59" x14ac:dyDescent="0.25">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row>
    <row r="245" spans="1:59" x14ac:dyDescent="0.25">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row>
    <row r="246" spans="1:59" x14ac:dyDescent="0.25">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450CC-FA52-417C-AA47-69990A2710FD}">
  <dimension ref="A1:AJ99"/>
  <sheetViews>
    <sheetView showGridLines="0" tabSelected="1" zoomScale="73" workbookViewId="0">
      <selection activeCell="Y14" sqref="Y14"/>
    </sheetView>
  </sheetViews>
  <sheetFormatPr defaultRowHeight="15" x14ac:dyDescent="0.25"/>
  <sheetData>
    <row r="1" spans="1:36"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row>
    <row r="2" spans="1:36"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row>
    <row r="3" spans="1:36"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row>
    <row r="4" spans="1:36" x14ac:dyDescent="0.25">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row>
    <row r="5" spans="1:36"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36"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36"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row>
    <row r="8" spans="1:36"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row>
    <row r="9" spans="1:36"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row>
    <row r="10" spans="1:36"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row>
    <row r="11" spans="1:36"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row>
    <row r="12" spans="1:36"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row>
    <row r="13" spans="1:36"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row>
    <row r="14" spans="1:36"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row>
    <row r="15" spans="1:36"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row>
    <row r="16" spans="1:36"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row>
    <row r="17" spans="1:36"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row>
    <row r="18" spans="1:36"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row>
    <row r="19" spans="1:36"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row>
    <row r="20" spans="1:36"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row>
    <row r="21" spans="1:36"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row>
    <row r="22" spans="1:36"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row>
    <row r="23" spans="1:36"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row>
    <row r="24" spans="1:36"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row>
    <row r="25" spans="1:36"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row>
    <row r="26" spans="1:36"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row>
    <row r="27" spans="1:36"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row>
    <row r="28" spans="1:36"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row>
    <row r="29" spans="1:36"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row>
    <row r="30" spans="1:36"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row>
    <row r="31" spans="1:36"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row>
    <row r="32" spans="1:36"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row>
    <row r="33" spans="1:36"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row>
    <row r="34" spans="1:36"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row>
    <row r="35" spans="1:36"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row>
    <row r="36" spans="1:36"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row>
    <row r="37" spans="1:36"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row>
    <row r="38" spans="1:36"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row>
    <row r="39" spans="1:36"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row>
    <row r="40" spans="1:36"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row>
    <row r="41" spans="1:36"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row>
    <row r="42" spans="1:36"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row>
    <row r="43" spans="1:36"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row>
    <row r="44" spans="1:36"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row>
    <row r="45" spans="1:36"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row>
    <row r="46" spans="1:36"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row>
    <row r="47" spans="1:36"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row>
    <row r="48" spans="1:36"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row>
    <row r="49" spans="1:36"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row>
    <row r="50" spans="1:36"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row>
    <row r="51" spans="1:36"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row>
    <row r="52" spans="1:36"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row>
    <row r="53" spans="1:36"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row>
    <row r="54" spans="1:36"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row>
    <row r="55" spans="1:36"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row>
    <row r="56" spans="1:36"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row>
    <row r="57" spans="1:36"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row>
    <row r="58" spans="1:36"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row>
    <row r="59" spans="1:36"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row>
    <row r="60" spans="1:36"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row>
    <row r="61" spans="1:36"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row>
    <row r="62" spans="1:36"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row>
    <row r="63" spans="1:36"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row>
    <row r="64" spans="1:36"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row>
    <row r="65" spans="1:36"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row>
    <row r="66" spans="1:36"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row>
    <row r="67" spans="1:36"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row>
    <row r="68" spans="1:36"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row>
    <row r="69" spans="1:36"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row>
    <row r="70" spans="1:36"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row>
    <row r="71" spans="1:36"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row>
    <row r="72" spans="1:36"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row>
    <row r="73" spans="1:36"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row>
    <row r="74" spans="1:36"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row>
    <row r="75" spans="1:36"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row>
    <row r="76" spans="1:36"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row>
    <row r="77" spans="1:36"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row>
    <row r="78" spans="1:36"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row>
    <row r="79" spans="1:36"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row>
    <row r="80" spans="1:36"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row>
    <row r="81" spans="1:36"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row>
    <row r="82" spans="1:36"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row>
    <row r="83" spans="1:36"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row>
    <row r="84" spans="1:36"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row>
    <row r="85" spans="1:36"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row>
    <row r="86" spans="1:36"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row>
    <row r="87" spans="1:36"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row>
    <row r="88" spans="1:36"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row>
    <row r="89" spans="1:36"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row>
    <row r="90" spans="1:36"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row>
    <row r="91" spans="1:36"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row>
    <row r="92" spans="1:36"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row>
    <row r="93" spans="1:36"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row>
    <row r="94" spans="1:36"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row>
    <row r="95" spans="1:36"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row>
    <row r="96" spans="1:36"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row>
    <row r="97" spans="1:36"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row>
    <row r="98" spans="1:36"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row>
    <row r="99" spans="1:36"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D7B9A0F7-4B50-4360-BC3D-0A7FA4672916}">
  <ds:schemaRefs/>
</ds:datastoreItem>
</file>

<file path=customXml/itemProps2.xml><?xml version="1.0" encoding="utf-8"?>
<ds:datastoreItem xmlns:ds="http://schemas.openxmlformats.org/officeDocument/2006/customXml" ds:itemID="{7630463A-3232-418E-953F-CFB7295C88B9}">
  <ds:schemaRefs/>
</ds:datastoreItem>
</file>

<file path=customXml/itemProps3.xml><?xml version="1.0" encoding="utf-8"?>
<ds:datastoreItem xmlns:ds="http://schemas.openxmlformats.org/officeDocument/2006/customXml" ds:itemID="{502A73E0-6B0B-48A7-9ECE-E00D7E0B353E}">
  <ds:schemaRefs/>
</ds:datastoreItem>
</file>

<file path=customXml/itemProps4.xml><?xml version="1.0" encoding="utf-8"?>
<ds:datastoreItem xmlns:ds="http://schemas.openxmlformats.org/officeDocument/2006/customXml" ds:itemID="{3C3B5E18-AC08-4388-B04B-D6C5702DE80B}">
  <ds:schemaRefs>
    <ds:schemaRef ds:uri="http://schemas.microsoft.com/DataMashup"/>
  </ds:schemaRefs>
</ds:datastoreItem>
</file>

<file path=customXml/itemProps5.xml><?xml version="1.0" encoding="utf-8"?>
<ds:datastoreItem xmlns:ds="http://schemas.openxmlformats.org/officeDocument/2006/customXml" ds:itemID="{9F2B0779-A88E-4175-ABDC-72D575CACA4B}">
  <ds:schemaRefs/>
</ds:datastoreItem>
</file>

<file path=customXml/itemProps6.xml><?xml version="1.0" encoding="utf-8"?>
<ds:datastoreItem xmlns:ds="http://schemas.openxmlformats.org/officeDocument/2006/customXml" ds:itemID="{979603D9-CC01-49A3-8E5A-E711BAFBD583}">
  <ds:schemaRefs/>
</ds:datastoreItem>
</file>

<file path=customXml/itemProps7.xml><?xml version="1.0" encoding="utf-8"?>
<ds:datastoreItem xmlns:ds="http://schemas.openxmlformats.org/officeDocument/2006/customXml" ds:itemID="{58269594-B907-4FB9-996C-E5B9AE0031ED}">
  <ds:schemaRefs/>
</ds:datastoreItem>
</file>

<file path=customXml/itemProps8.xml><?xml version="1.0" encoding="utf-8"?>
<ds:datastoreItem xmlns:ds="http://schemas.openxmlformats.org/officeDocument/2006/customXml" ds:itemID="{29C217DD-287A-438A-896A-5A09234FCCCE}">
  <ds:schemaRefs/>
</ds:datastoreItem>
</file>

<file path=customXml/itemProps9.xml><?xml version="1.0" encoding="utf-8"?>
<ds:datastoreItem xmlns:ds="http://schemas.openxmlformats.org/officeDocument/2006/customXml" ds:itemID="{BAFF9A4D-3300-4CCA-9AA4-A1C3B3430C0C}">
  <ds:schemaRefs/>
</ds:datastoreItem>
</file>

<file path=customXml/itemProps10.xml><?xml version="1.0" encoding="utf-8"?>
<ds:datastoreItem xmlns:ds="http://schemas.openxmlformats.org/officeDocument/2006/customXml" ds:itemID="{BF98326C-D015-43E0-BFD1-AB2AC3778F46}">
  <ds:schemaRefs/>
</ds:datastoreItem>
</file>

<file path=customXml/itemProps11.xml><?xml version="1.0" encoding="utf-8"?>
<ds:datastoreItem xmlns:ds="http://schemas.openxmlformats.org/officeDocument/2006/customXml" ds:itemID="{BA503487-7737-4616-847D-033913B947CC}">
  <ds:schemaRefs/>
</ds:datastoreItem>
</file>

<file path=customXml/itemProps12.xml><?xml version="1.0" encoding="utf-8"?>
<ds:datastoreItem xmlns:ds="http://schemas.openxmlformats.org/officeDocument/2006/customXml" ds:itemID="{033F9C4A-3D98-4C56-947B-1441CF1034AA}">
  <ds:schemaRefs/>
</ds:datastoreItem>
</file>

<file path=customXml/itemProps13.xml><?xml version="1.0" encoding="utf-8"?>
<ds:datastoreItem xmlns:ds="http://schemas.openxmlformats.org/officeDocument/2006/customXml" ds:itemID="{975E17F1-A43E-43FE-B587-758E99D1FE0A}">
  <ds:schemaRefs/>
</ds:datastoreItem>
</file>

<file path=customXml/itemProps14.xml><?xml version="1.0" encoding="utf-8"?>
<ds:datastoreItem xmlns:ds="http://schemas.openxmlformats.org/officeDocument/2006/customXml" ds:itemID="{15FFFEAA-B573-427E-95B1-F1597906E5CB}">
  <ds:schemaRefs/>
</ds:datastoreItem>
</file>

<file path=customXml/itemProps15.xml><?xml version="1.0" encoding="utf-8"?>
<ds:datastoreItem xmlns:ds="http://schemas.openxmlformats.org/officeDocument/2006/customXml" ds:itemID="{AC04E9E8-4A5D-4400-987E-8E29A4992295}">
  <ds:schemaRefs/>
</ds:datastoreItem>
</file>

<file path=customXml/itemProps16.xml><?xml version="1.0" encoding="utf-8"?>
<ds:datastoreItem xmlns:ds="http://schemas.openxmlformats.org/officeDocument/2006/customXml" ds:itemID="{255559DE-27C6-4576-A9AC-373B541473D1}">
  <ds:schemaRefs/>
</ds:datastoreItem>
</file>

<file path=customXml/itemProps17.xml><?xml version="1.0" encoding="utf-8"?>
<ds:datastoreItem xmlns:ds="http://schemas.openxmlformats.org/officeDocument/2006/customXml" ds:itemID="{8F7E8974-9021-4F6E-BDD4-6C828EDAF537}">
  <ds:schemaRefs/>
</ds:datastoreItem>
</file>

<file path=customXml/itemProps18.xml><?xml version="1.0" encoding="utf-8"?>
<ds:datastoreItem xmlns:ds="http://schemas.openxmlformats.org/officeDocument/2006/customXml" ds:itemID="{09B18E32-2272-4F7F-8960-AC3876094B63}">
  <ds:schemaRefs/>
</ds:datastoreItem>
</file>

<file path=customXml/itemProps19.xml><?xml version="1.0" encoding="utf-8"?>
<ds:datastoreItem xmlns:ds="http://schemas.openxmlformats.org/officeDocument/2006/customXml" ds:itemID="{F6988A57-AE2A-4762-9488-56874B4AFB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RTN AND ALIBAG MARKET SALES</vt:lpstr>
      <vt:lpstr>Sheet3</vt:lpstr>
      <vt:lpstr>TRIPS</vt:lpstr>
      <vt:lpstr>RTN Fish sales Analysis</vt:lpstr>
      <vt:lpstr>Trips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irfanpattu00@gmail.com</dc:creator>
  <cp:lastModifiedBy>irfanpattu00@gmail.com</cp:lastModifiedBy>
  <dcterms:created xsi:type="dcterms:W3CDTF">2024-12-23T08:03:16Z</dcterms:created>
  <dcterms:modified xsi:type="dcterms:W3CDTF">2024-12-24T02:23:58Z</dcterms:modified>
</cp:coreProperties>
</file>